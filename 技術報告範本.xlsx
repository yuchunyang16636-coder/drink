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p16636\Desktop\"/>
    </mc:Choice>
  </mc:AlternateContent>
  <xr:revisionPtr revIDLastSave="0" documentId="8_{7068AE32-4587-4D0D-80D1-E71AA96F6CC5}" xr6:coauthVersionLast="47" xr6:coauthVersionMax="47" xr10:uidLastSave="{00000000-0000-0000-0000-000000000000}"/>
  <bookViews>
    <workbookView xWindow="-120" yWindow="-120" windowWidth="29040" windowHeight="17520" xr2:uid="{58308D0D-274F-4A6A-8973-F8707816065E}"/>
  </bookViews>
  <sheets>
    <sheet name="page1" sheetId="20" r:id="rId1"/>
  </sheets>
  <definedNames>
    <definedName name="_xlnm.Print_Area" localSheetId="0">page1!$B$1:$M$130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2" i="20" l="1"/>
  <c r="I402" i="20"/>
  <c r="I357" i="20"/>
  <c r="L357" i="20"/>
  <c r="I312" i="20"/>
  <c r="L312" i="20"/>
  <c r="I267" i="20"/>
  <c r="I222" i="20"/>
  <c r="I177" i="20"/>
  <c r="I132" i="20"/>
  <c r="I87" i="20"/>
  <c r="I42" i="20"/>
  <c r="L267" i="20"/>
  <c r="L222" i="20"/>
  <c r="L177" i="20"/>
  <c r="L132" i="20"/>
  <c r="L87" i="20"/>
  <c r="L42" i="20"/>
  <c r="L1" i="20"/>
  <c r="V10" i="20"/>
  <c r="V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zp12438</author>
    <author>zp13433</author>
  </authors>
  <commentList>
    <comment ref="I1" authorId="0" shapeId="0" xr:uid="{11FBB344-29ED-41D8-AEB5-126DFD017B3F}">
      <text>
        <r>
          <rPr>
            <b/>
            <sz val="10"/>
            <color indexed="81"/>
            <rFont val="MS P ゴシック"/>
            <family val="3"/>
            <charset val="128"/>
          </rPr>
          <t>下拉選擇課別</t>
        </r>
      </text>
    </comment>
    <comment ref="K2" authorId="0" shapeId="0" xr:uid="{691FA3AB-81FB-4B29-A1C1-7D4DADB3F199}">
      <text>
        <r>
          <rPr>
            <b/>
            <sz val="10"/>
            <color indexed="81"/>
            <rFont val="MS P ゴシック"/>
            <family val="3"/>
            <charset val="128"/>
          </rPr>
          <t>下拉選擇分類</t>
        </r>
      </text>
    </comment>
    <comment ref="O3" authorId="1" shapeId="0" xr:uid="{5D68E8B0-2859-4992-9420-606C775CF0AF}">
      <text>
        <r>
          <rPr>
            <b/>
            <sz val="10"/>
            <color indexed="81"/>
            <rFont val="MingLiU"/>
            <family val="3"/>
            <charset val="136"/>
          </rPr>
          <t>總頁數從這裡輸入</t>
        </r>
      </text>
    </comment>
    <comment ref="B4" authorId="0" shapeId="0" xr:uid="{889956DD-F76E-49EE-A8DE-F95C70DA2099}">
      <text>
        <r>
          <rPr>
            <b/>
            <sz val="11"/>
            <color indexed="81"/>
            <rFont val="MS P ゴシック"/>
            <family val="3"/>
            <charset val="128"/>
          </rPr>
          <t>題目必填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<sst xmlns="http://schemas.openxmlformats.org/spreadsheetml/2006/main" count="48" uniqueCount="38">
  <si>
    <t>備考</t>
  </si>
  <si>
    <t>機種</t>
  </si>
  <si>
    <t>目的</t>
  </si>
  <si>
    <t>結論</t>
  </si>
  <si>
    <t>検討事項</t>
  </si>
  <si>
    <t>EE.EP:</t>
  </si>
  <si>
    <t>終了日:</t>
    <phoneticPr fontId="3"/>
  </si>
  <si>
    <t>技 術 檢 討 報 告</t>
    <phoneticPr fontId="3"/>
  </si>
  <si>
    <t xml:space="preserve"> 配布先</t>
    <phoneticPr fontId="3"/>
  </si>
  <si>
    <t>R2・機密</t>
    <phoneticPr fontId="3"/>
  </si>
  <si>
    <t>検討</t>
    <phoneticPr fontId="3"/>
  </si>
  <si>
    <t>作成</t>
    <phoneticPr fontId="3"/>
  </si>
  <si>
    <t>承認</t>
    <phoneticPr fontId="3"/>
  </si>
  <si>
    <r>
      <t>開始日</t>
    </r>
    <r>
      <rPr>
        <sz val="11"/>
        <rFont val="ＭＳ Ｐゴシック"/>
        <family val="3"/>
        <charset val="128"/>
      </rPr>
      <t>:</t>
    </r>
    <phoneticPr fontId="3"/>
  </si>
  <si>
    <t>N O：</t>
    <phoneticPr fontId="3"/>
  </si>
  <si>
    <t>分類：</t>
    <phoneticPr fontId="3"/>
  </si>
  <si>
    <t>汎用</t>
    <phoneticPr fontId="3"/>
  </si>
  <si>
    <t>Total Page</t>
    <phoneticPr fontId="20"/>
  </si>
  <si>
    <t>生産技術一課</t>
    <rPh sb="0" eb="4">
      <t>セイサンギジュツ</t>
    </rPh>
    <rPh sb="4" eb="5">
      <t>イチ</t>
    </rPh>
    <rPh sb="5" eb="6">
      <t>カ</t>
    </rPh>
    <phoneticPr fontId="3"/>
  </si>
  <si>
    <t>生産技術二課</t>
    <rPh sb="0" eb="4">
      <t>セイサンギジュツ</t>
    </rPh>
    <rPh sb="5" eb="6">
      <t>カ</t>
    </rPh>
    <phoneticPr fontId="3"/>
  </si>
  <si>
    <t>生産技術三課</t>
    <rPh sb="0" eb="4">
      <t>セイサンギジュツ</t>
    </rPh>
    <rPh sb="5" eb="6">
      <t>カ</t>
    </rPh>
    <phoneticPr fontId="3"/>
  </si>
  <si>
    <t>カメラ生産技術課</t>
    <rPh sb="3" eb="7">
      <t>セイサンギジュツ</t>
    </rPh>
    <rPh sb="7" eb="8">
      <t>カ</t>
    </rPh>
    <phoneticPr fontId="3"/>
  </si>
  <si>
    <t>実装技術課</t>
    <rPh sb="0" eb="2">
      <t>ジッソウ</t>
    </rPh>
    <rPh sb="2" eb="4">
      <t>ギジュツ</t>
    </rPh>
    <rPh sb="4" eb="5">
      <t>カ</t>
    </rPh>
    <phoneticPr fontId="3"/>
  </si>
  <si>
    <t>課別</t>
    <phoneticPr fontId="3"/>
  </si>
  <si>
    <t>分類</t>
    <phoneticPr fontId="3"/>
  </si>
  <si>
    <t>塗装</t>
    <rPh sb="0" eb="2">
      <t>ﾄｿｳ</t>
    </rPh>
    <phoneticPr fontId="33" type="noConversion"/>
  </si>
  <si>
    <t>成形</t>
    <phoneticPr fontId="33" type="noConversion"/>
  </si>
  <si>
    <t>レーザ―</t>
  </si>
  <si>
    <t>蒸着</t>
    <rPh sb="1" eb="2">
      <t>ﾁｬｸ</t>
    </rPh>
    <phoneticPr fontId="33" type="noConversion"/>
  </si>
  <si>
    <t>実装</t>
    <rPh sb="0" eb="2">
      <t>ｼﾞｯｿｳ</t>
    </rPh>
    <phoneticPr fontId="33" type="noConversion"/>
  </si>
  <si>
    <t>印刷</t>
    <phoneticPr fontId="33" type="noConversion"/>
  </si>
  <si>
    <t>切削</t>
    <phoneticPr fontId="33" type="noConversion"/>
  </si>
  <si>
    <t>レンズ電気</t>
    <rPh sb="3" eb="5">
      <t>デンキ</t>
    </rPh>
    <phoneticPr fontId="3"/>
  </si>
  <si>
    <t>レンズ機構</t>
    <rPh sb="3" eb="5">
      <t>キコウ</t>
    </rPh>
    <phoneticPr fontId="3"/>
  </si>
  <si>
    <t>自動化</t>
    <rPh sb="0" eb="3">
      <t>ジドウカ</t>
    </rPh>
    <phoneticPr fontId="3"/>
  </si>
  <si>
    <t>カメラ電気</t>
    <rPh sb="3" eb="5">
      <t>デンキ</t>
    </rPh>
    <phoneticPr fontId="3"/>
  </si>
  <si>
    <t>カメラ機構</t>
    <rPh sb="3" eb="5">
      <t>キコウ</t>
    </rPh>
    <phoneticPr fontId="3"/>
  </si>
  <si>
    <t>test 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</si>
</sst>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7" formatCode="&quot;¥&quot;#,##0;[Red]&quot;¥&quot;\-#,##0"/>
    <numFmt numFmtId="179" formatCode="&quot;¥&quot;#,##0.00;[Red]&quot;¥&quot;\-#,##0.00"/>
    <numFmt numFmtId="181" formatCode="_ * #,##0_ ;_ * \-#,##0_ ;_ * &quot;-&quot;_ ;_ @_ "/>
    <numFmt numFmtId="183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,##0_);[Red]\(&quot;$&quot;#,##0\)"/>
  </numFmts>
  <fonts count="46">
    <font>
      <sz val="12"/>
      <name val="華康楷書體W5"/>
      <family val="3"/>
      <charset val="136"/>
    </font>
    <font>
      <sz val="12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sz val="12"/>
      <name val="華康中楷體"/>
      <family val="3"/>
      <charset val="136"/>
    </font>
    <font>
      <sz val="11"/>
      <name val=""/>
      <family val="3"/>
      <charset val="136"/>
    </font>
    <font>
      <sz val="11"/>
      <name val="ＭＳ Ｐゴシック"/>
      <family val="3"/>
      <charset val="128"/>
    </font>
    <font>
      <b/>
      <sz val="10"/>
      <name val="Times New Roman"/>
      <family val="1"/>
    </font>
    <font>
      <u/>
      <sz val="9"/>
      <color indexed="36"/>
      <name val="華康細明體"/>
      <family val="3"/>
      <charset val="136"/>
    </font>
    <font>
      <sz val="11"/>
      <name val="?"/>
      <family val="3"/>
      <charset val="128"/>
    </font>
    <font>
      <sz val="12"/>
      <name val="Courier"/>
      <family val="3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color indexed="12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華康細明體"/>
      <family val="3"/>
      <charset val="136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MingLiU"/>
      <family val="3"/>
      <charset val="136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12"/>
      <name val="Microsoft JhengHei"/>
      <family val="2"/>
      <charset val="136"/>
    </font>
    <font>
      <sz val="13"/>
      <name val="華康楷書體W5"/>
      <family val="3"/>
      <charset val="136"/>
    </font>
    <font>
      <sz val="22"/>
      <name val="ＭＳ Ｐゴシック"/>
      <family val="3"/>
      <charset val="128"/>
    </font>
    <font>
      <b/>
      <sz val="22"/>
      <name val="Microsoft JhengHei"/>
      <family val="2"/>
      <charset val="136"/>
    </font>
    <font>
      <b/>
      <sz val="22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11"/>
      <color indexed="81"/>
      <name val="MS P ゴシック"/>
      <family val="3"/>
      <charset val="128"/>
    </font>
    <font>
      <sz val="12"/>
      <name val="Meiryo UI"/>
      <family val="3"/>
      <charset val="128"/>
    </font>
    <font>
      <sz val="9"/>
      <name val="新細明體"/>
      <family val="1"/>
      <charset val="128"/>
    </font>
    <font>
      <b/>
      <sz val="10"/>
      <color indexed="81"/>
      <name val="MS P ゴシック"/>
      <family val="3"/>
      <charset val="128"/>
    </font>
    <font>
      <b/>
      <sz val="10"/>
      <color indexed="81"/>
      <name val="MingLiU"/>
      <family val="3"/>
      <charset val="136"/>
    </font>
    <font>
      <sz val="12"/>
      <color rgb="FFFF0000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4"/>
      <color rgb="FFFF0000"/>
      <name val="ＭＳ Ｐ明朝"/>
      <family val="1"/>
      <charset val="128"/>
    </font>
    <font>
      <sz val="12"/>
      <name val="新細明體"/>
      <family val="3"/>
      <charset val="128"/>
      <scheme val="major"/>
    </font>
    <font>
      <sz val="12"/>
      <color rgb="FFFF0000"/>
      <name val="新細明體"/>
      <family val="3"/>
      <charset val="128"/>
      <scheme val="major"/>
    </font>
    <font>
      <sz val="14"/>
      <color rgb="FFFF0000"/>
      <name val="新細明體"/>
      <family val="3"/>
      <charset val="128"/>
      <scheme val="major"/>
    </font>
    <font>
      <sz val="14"/>
      <name val="新細明體"/>
      <family val="3"/>
      <charset val="128"/>
      <scheme val="minor"/>
    </font>
    <font>
      <sz val="12"/>
      <name val="新細明體"/>
      <family val="3"/>
      <charset val="128"/>
      <scheme val="minor"/>
    </font>
    <font>
      <sz val="14"/>
      <name val="新細明體"/>
      <family val="3"/>
      <charset val="128"/>
      <scheme val="major"/>
    </font>
    <font>
      <b/>
      <sz val="18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8">
    <xf numFmtId="0" fontId="0" fillId="0" borderId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0" fontId="3" fillId="0" borderId="0"/>
    <xf numFmtId="179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19" fillId="0" borderId="0"/>
    <xf numFmtId="0" fontId="10" fillId="0" borderId="0"/>
    <xf numFmtId="190" fontId="4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1" applyBorder="0"/>
  </cellStyleXfs>
  <cellXfs count="148">
    <xf numFmtId="0" fontId="0" fillId="0" borderId="0" xfId="0"/>
    <xf numFmtId="0" fontId="11" fillId="2" borderId="0" xfId="12" applyFont="1" applyFill="1" applyBorder="1"/>
    <xf numFmtId="0" fontId="6" fillId="2" borderId="0" xfId="12" applyFont="1" applyFill="1" applyBorder="1"/>
    <xf numFmtId="0" fontId="6" fillId="2" borderId="0" xfId="12" applyFont="1" applyFill="1" applyBorder="1" applyAlignment="1">
      <alignment horizontal="center"/>
    </xf>
    <xf numFmtId="0" fontId="11" fillId="2" borderId="0" xfId="12" applyFont="1" applyFill="1" applyProtection="1"/>
    <xf numFmtId="0" fontId="12" fillId="2" borderId="0" xfId="12" applyFont="1" applyFill="1" applyProtection="1"/>
    <xf numFmtId="0" fontId="11" fillId="2" borderId="0" xfId="12" applyFont="1" applyFill="1"/>
    <xf numFmtId="2" fontId="11" fillId="2" borderId="0" xfId="12" applyNumberFormat="1" applyFont="1" applyFill="1"/>
    <xf numFmtId="0" fontId="11" fillId="2" borderId="2" xfId="12" applyFont="1" applyFill="1" applyBorder="1" applyProtection="1"/>
    <xf numFmtId="0" fontId="11" fillId="2" borderId="0" xfId="12" applyFont="1" applyFill="1" applyBorder="1" applyProtection="1">
      <protection locked="0"/>
    </xf>
    <xf numFmtId="0" fontId="14" fillId="2" borderId="3" xfId="12" applyFont="1" applyFill="1" applyBorder="1" applyAlignment="1" applyProtection="1">
      <alignment vertical="top"/>
    </xf>
    <xf numFmtId="0" fontId="11" fillId="2" borderId="4" xfId="12" applyFont="1" applyFill="1" applyBorder="1" applyProtection="1"/>
    <xf numFmtId="0" fontId="11" fillId="2" borderId="0" xfId="12" applyFont="1" applyFill="1" applyBorder="1" applyProtection="1"/>
    <xf numFmtId="0" fontId="14" fillId="2" borderId="0" xfId="12" applyFont="1" applyFill="1" applyBorder="1" applyAlignment="1" applyProtection="1">
      <alignment vertical="top"/>
    </xf>
    <xf numFmtId="0" fontId="11" fillId="2" borderId="5" xfId="12" applyFont="1" applyFill="1" applyBorder="1" applyAlignment="1" applyProtection="1">
      <alignment horizontal="left"/>
      <protection locked="0"/>
    </xf>
    <xf numFmtId="0" fontId="14" fillId="2" borderId="0" xfId="12" applyFont="1" applyFill="1" applyBorder="1" applyProtection="1">
      <protection locked="0"/>
    </xf>
    <xf numFmtId="0" fontId="11" fillId="2" borderId="6" xfId="12" applyFont="1" applyFill="1" applyBorder="1" applyProtection="1"/>
    <xf numFmtId="0" fontId="11" fillId="2" borderId="7" xfId="12" applyFont="1" applyFill="1" applyBorder="1" applyProtection="1"/>
    <xf numFmtId="0" fontId="11" fillId="2" borderId="8" xfId="12" applyFont="1" applyFill="1" applyBorder="1" applyProtection="1"/>
    <xf numFmtId="0" fontId="11" fillId="2" borderId="9" xfId="12" applyFont="1" applyFill="1" applyBorder="1" applyAlignment="1" applyProtection="1">
      <alignment horizontal="left"/>
    </xf>
    <xf numFmtId="0" fontId="11" fillId="2" borderId="9" xfId="12" applyFont="1" applyFill="1" applyBorder="1" applyProtection="1"/>
    <xf numFmtId="0" fontId="11" fillId="2" borderId="9" xfId="12" applyFont="1" applyFill="1" applyBorder="1" applyAlignment="1" applyProtection="1"/>
    <xf numFmtId="0" fontId="11" fillId="2" borderId="10" xfId="12" applyFont="1" applyFill="1" applyBorder="1" applyProtection="1"/>
    <xf numFmtId="0" fontId="11" fillId="2" borderId="9" xfId="12" applyFont="1" applyFill="1" applyBorder="1" applyAlignment="1" applyProtection="1">
      <alignment horizontal="left"/>
      <protection locked="0"/>
    </xf>
    <xf numFmtId="0" fontId="11" fillId="2" borderId="10" xfId="12" applyFont="1" applyFill="1" applyBorder="1" applyAlignment="1" applyProtection="1">
      <alignment horizontal="left"/>
      <protection locked="0"/>
    </xf>
    <xf numFmtId="0" fontId="11" fillId="2" borderId="11" xfId="12" applyFont="1" applyFill="1" applyBorder="1" applyAlignment="1" applyProtection="1">
      <alignment horizontal="left"/>
    </xf>
    <xf numFmtId="0" fontId="11" fillId="2" borderId="12" xfId="12" applyFont="1" applyFill="1" applyBorder="1" applyAlignment="1" applyProtection="1">
      <alignment horizontal="left"/>
      <protection locked="0"/>
    </xf>
    <xf numFmtId="0" fontId="11" fillId="2" borderId="13" xfId="12" applyFont="1" applyFill="1" applyBorder="1" applyAlignment="1" applyProtection="1">
      <alignment horizontal="left"/>
      <protection locked="0"/>
    </xf>
    <xf numFmtId="0" fontId="11" fillId="2" borderId="14" xfId="12" applyFont="1" applyFill="1" applyBorder="1" applyProtection="1"/>
    <xf numFmtId="0" fontId="11" fillId="2" borderId="15" xfId="12" applyFont="1" applyFill="1" applyBorder="1" applyProtection="1"/>
    <xf numFmtId="0" fontId="11" fillId="2" borderId="16" xfId="12" applyFont="1" applyFill="1" applyBorder="1" applyAlignment="1" applyProtection="1">
      <alignment horizontal="left"/>
      <protection locked="0"/>
    </xf>
    <xf numFmtId="0" fontId="11" fillId="2" borderId="17" xfId="12" applyFont="1" applyFill="1" applyBorder="1" applyAlignment="1" applyProtection="1">
      <alignment horizontal="left"/>
      <protection locked="0"/>
    </xf>
    <xf numFmtId="0" fontId="11" fillId="2" borderId="11" xfId="12" applyFont="1" applyFill="1" applyBorder="1" applyProtection="1"/>
    <xf numFmtId="0" fontId="11" fillId="2" borderId="12" xfId="12" applyFont="1" applyFill="1" applyBorder="1"/>
    <xf numFmtId="0" fontId="11" fillId="2" borderId="8" xfId="12" applyFont="1" applyFill="1" applyBorder="1"/>
    <xf numFmtId="0" fontId="13" fillId="2" borderId="9" xfId="12" applyFont="1" applyFill="1" applyBorder="1" applyAlignment="1" applyProtection="1">
      <alignment horizontal="left"/>
      <protection locked="0"/>
    </xf>
    <xf numFmtId="0" fontId="11" fillId="2" borderId="18" xfId="12" applyFont="1" applyFill="1" applyBorder="1" applyAlignment="1" applyProtection="1">
      <alignment horizontal="left"/>
      <protection locked="0"/>
    </xf>
    <xf numFmtId="0" fontId="11" fillId="2" borderId="0" xfId="12" applyFont="1" applyFill="1" applyBorder="1" applyAlignment="1" applyProtection="1">
      <alignment horizontal="left"/>
      <protection locked="0"/>
    </xf>
    <xf numFmtId="0" fontId="17" fillId="2" borderId="8" xfId="12" applyFont="1" applyFill="1" applyBorder="1" applyProtection="1"/>
    <xf numFmtId="0" fontId="11" fillId="2" borderId="8" xfId="12" applyFont="1" applyFill="1" applyBorder="1" applyAlignment="1" applyProtection="1">
      <alignment horizontal="left"/>
      <protection locked="0"/>
    </xf>
    <xf numFmtId="0" fontId="11" fillId="2" borderId="19" xfId="12" applyFont="1" applyFill="1" applyBorder="1" applyAlignment="1" applyProtection="1">
      <alignment vertical="center" wrapText="1"/>
      <protection locked="0"/>
    </xf>
    <xf numFmtId="0" fontId="11" fillId="2" borderId="20" xfId="12" applyFont="1" applyFill="1" applyBorder="1" applyProtection="1">
      <protection locked="0"/>
    </xf>
    <xf numFmtId="0" fontId="14" fillId="2" borderId="20" xfId="12" applyFont="1" applyFill="1" applyBorder="1" applyAlignment="1" applyProtection="1">
      <alignment horizontal="center" vertical="center"/>
    </xf>
    <xf numFmtId="0" fontId="11" fillId="2" borderId="21" xfId="12" applyFont="1" applyFill="1" applyBorder="1" applyProtection="1">
      <protection locked="0"/>
    </xf>
    <xf numFmtId="0" fontId="11" fillId="2" borderId="22" xfId="12" applyFont="1" applyFill="1" applyBorder="1" applyAlignment="1" applyProtection="1">
      <alignment vertical="center" wrapText="1"/>
      <protection locked="0"/>
    </xf>
    <xf numFmtId="0" fontId="14" fillId="2" borderId="0" xfId="12" applyFont="1" applyFill="1" applyBorder="1" applyAlignment="1" applyProtection="1">
      <alignment horizontal="center" vertical="center"/>
    </xf>
    <xf numFmtId="0" fontId="11" fillId="2" borderId="5" xfId="12" applyFont="1" applyFill="1" applyBorder="1" applyProtection="1">
      <protection locked="0"/>
    </xf>
    <xf numFmtId="0" fontId="11" fillId="2" borderId="23" xfId="12" applyFont="1" applyFill="1" applyBorder="1" applyProtection="1"/>
    <xf numFmtId="0" fontId="11" fillId="2" borderId="7" xfId="12" applyFont="1" applyFill="1" applyBorder="1" applyAlignment="1" applyProtection="1">
      <alignment horizontal="left"/>
    </xf>
    <xf numFmtId="0" fontId="11" fillId="2" borderId="7" xfId="12" applyFont="1" applyFill="1" applyBorder="1" applyAlignment="1" applyProtection="1">
      <alignment horizontal="left"/>
      <protection locked="0"/>
    </xf>
    <xf numFmtId="0" fontId="11" fillId="2" borderId="6" xfId="12" applyFont="1" applyFill="1" applyBorder="1" applyAlignment="1" applyProtection="1">
      <alignment vertical="center" wrapText="1"/>
      <protection locked="0"/>
    </xf>
    <xf numFmtId="0" fontId="11" fillId="2" borderId="7" xfId="12" applyFont="1" applyFill="1" applyBorder="1" applyProtection="1">
      <protection locked="0"/>
    </xf>
    <xf numFmtId="0" fontId="14" fillId="2" borderId="7" xfId="12" applyFont="1" applyFill="1" applyBorder="1" applyAlignment="1" applyProtection="1">
      <alignment horizontal="center" vertical="center"/>
    </xf>
    <xf numFmtId="0" fontId="11" fillId="2" borderId="24" xfId="12" applyFont="1" applyFill="1" applyBorder="1" applyProtection="1">
      <protection locked="0"/>
    </xf>
    <xf numFmtId="0" fontId="11" fillId="2" borderId="0" xfId="12" applyFont="1" applyFill="1" applyProtection="1">
      <protection locked="0"/>
    </xf>
    <xf numFmtId="0" fontId="14" fillId="2" borderId="19" xfId="12" applyFont="1" applyFill="1" applyBorder="1" applyAlignment="1" applyProtection="1">
      <alignment vertical="top"/>
    </xf>
    <xf numFmtId="0" fontId="11" fillId="2" borderId="24" xfId="12" quotePrefix="1" applyFont="1" applyFill="1" applyBorder="1" applyAlignment="1" applyProtection="1">
      <alignment horizontal="left"/>
      <protection locked="0"/>
    </xf>
    <xf numFmtId="0" fontId="11" fillId="2" borderId="25" xfId="12" applyFont="1" applyFill="1" applyBorder="1" applyAlignment="1" applyProtection="1">
      <alignment horizontal="left"/>
      <protection locked="0"/>
    </xf>
    <xf numFmtId="0" fontId="14" fillId="2" borderId="26" xfId="12" applyFont="1" applyFill="1" applyBorder="1" applyAlignment="1" applyProtection="1">
      <alignment vertical="center"/>
    </xf>
    <xf numFmtId="0" fontId="14" fillId="2" borderId="6" xfId="12" applyFont="1" applyFill="1" applyBorder="1" applyAlignment="1" applyProtection="1">
      <alignment vertical="center"/>
    </xf>
    <xf numFmtId="0" fontId="14" fillId="2" borderId="27" xfId="12" applyFont="1" applyFill="1" applyBorder="1" applyAlignment="1" applyProtection="1">
      <alignment vertical="center"/>
    </xf>
    <xf numFmtId="0" fontId="11" fillId="2" borderId="28" xfId="12" applyFont="1" applyFill="1" applyBorder="1" applyAlignment="1" applyProtection="1">
      <alignment horizontal="left" vertical="center"/>
    </xf>
    <xf numFmtId="0" fontId="11" fillId="2" borderId="0" xfId="12" applyFont="1" applyFill="1" applyAlignment="1">
      <alignment horizontal="center" vertical="center"/>
    </xf>
    <xf numFmtId="0" fontId="11" fillId="2" borderId="29" xfId="12" applyFont="1" applyFill="1" applyBorder="1" applyAlignment="1" applyProtection="1">
      <alignment horizontal="center" vertical="center"/>
    </xf>
    <xf numFmtId="0" fontId="11" fillId="2" borderId="0" xfId="12" applyFont="1" applyFill="1" applyAlignment="1">
      <alignment vertical="center"/>
    </xf>
    <xf numFmtId="0" fontId="14" fillId="2" borderId="30" xfId="12" applyFont="1" applyFill="1" applyBorder="1" applyAlignment="1" applyProtection="1">
      <alignment vertical="top"/>
    </xf>
    <xf numFmtId="0" fontId="14" fillId="2" borderId="31" xfId="12" applyFont="1" applyFill="1" applyBorder="1" applyAlignment="1" applyProtection="1">
      <alignment vertical="top"/>
    </xf>
    <xf numFmtId="0" fontId="14" fillId="2" borderId="32" xfId="12" applyFont="1" applyFill="1" applyBorder="1" applyAlignment="1" applyProtection="1">
      <alignment vertical="top"/>
    </xf>
    <xf numFmtId="0" fontId="14" fillId="2" borderId="32" xfId="12" applyFont="1" applyFill="1" applyBorder="1" applyAlignment="1" applyProtection="1">
      <alignment vertical="top"/>
      <protection locked="0"/>
    </xf>
    <xf numFmtId="0" fontId="15" fillId="2" borderId="6" xfId="12" applyFont="1" applyFill="1" applyBorder="1" applyProtection="1">
      <protection locked="0"/>
    </xf>
    <xf numFmtId="0" fontId="11" fillId="2" borderId="33" xfId="12" applyFont="1" applyFill="1" applyBorder="1" applyProtection="1"/>
    <xf numFmtId="0" fontId="11" fillId="2" borderId="33" xfId="12" applyFont="1" applyFill="1" applyBorder="1" applyAlignment="1" applyProtection="1">
      <alignment horizontal="center" vertical="top"/>
      <protection locked="0"/>
    </xf>
    <xf numFmtId="0" fontId="11" fillId="2" borderId="24" xfId="12" applyFont="1" applyFill="1" applyBorder="1" applyAlignment="1" applyProtection="1">
      <alignment horizontal="left"/>
      <protection locked="0"/>
    </xf>
    <xf numFmtId="0" fontId="11" fillId="2" borderId="0" xfId="12" applyFont="1" applyFill="1" applyBorder="1" applyAlignment="1">
      <alignment vertical="center"/>
    </xf>
    <xf numFmtId="0" fontId="15" fillId="2" borderId="34" xfId="12" applyFont="1" applyFill="1" applyBorder="1" applyAlignment="1" applyProtection="1">
      <alignment horizontal="center"/>
      <protection locked="0"/>
    </xf>
    <xf numFmtId="0" fontId="21" fillId="2" borderId="4" xfId="12" applyFont="1" applyFill="1" applyBorder="1" applyProtection="1"/>
    <xf numFmtId="0" fontId="15" fillId="2" borderId="9" xfId="12" applyFont="1" applyFill="1" applyBorder="1" applyAlignment="1" applyProtection="1">
      <alignment horizontal="left"/>
      <protection locked="0"/>
    </xf>
    <xf numFmtId="0" fontId="15" fillId="2" borderId="12" xfId="12" applyFont="1" applyFill="1" applyBorder="1" applyProtection="1"/>
    <xf numFmtId="0" fontId="11" fillId="2" borderId="35" xfId="12" applyFont="1" applyFill="1" applyBorder="1" applyProtection="1"/>
    <xf numFmtId="0" fontId="11" fillId="2" borderId="36" xfId="12" applyFont="1" applyFill="1" applyBorder="1" applyAlignment="1" applyProtection="1">
      <alignment horizontal="left"/>
      <protection locked="0"/>
    </xf>
    <xf numFmtId="0" fontId="11" fillId="2" borderId="7" xfId="12" applyFont="1" applyFill="1" applyBorder="1"/>
    <xf numFmtId="0" fontId="36" fillId="2" borderId="9" xfId="12" applyFont="1" applyFill="1" applyBorder="1" applyAlignment="1" applyProtection="1">
      <alignment horizontal="left"/>
      <protection locked="0"/>
    </xf>
    <xf numFmtId="0" fontId="36" fillId="2" borderId="16" xfId="12" applyFont="1" applyFill="1" applyBorder="1" applyAlignment="1" applyProtection="1">
      <alignment horizontal="left"/>
      <protection locked="0"/>
    </xf>
    <xf numFmtId="0" fontId="36" fillId="2" borderId="9" xfId="12" applyFont="1" applyFill="1" applyBorder="1" applyProtection="1"/>
    <xf numFmtId="0" fontId="36" fillId="2" borderId="18" xfId="12" applyFont="1" applyFill="1" applyBorder="1" applyAlignment="1" applyProtection="1">
      <alignment horizontal="left"/>
      <protection locked="0"/>
    </xf>
    <xf numFmtId="0" fontId="37" fillId="2" borderId="9" xfId="12" applyFont="1" applyFill="1" applyBorder="1" applyProtection="1"/>
    <xf numFmtId="0" fontId="38" fillId="2" borderId="9" xfId="12" applyFont="1" applyFill="1" applyBorder="1" applyProtection="1"/>
    <xf numFmtId="0" fontId="23" fillId="2" borderId="16" xfId="12" applyFont="1" applyFill="1" applyBorder="1"/>
    <xf numFmtId="0" fontId="24" fillId="2" borderId="9" xfId="12" applyFont="1" applyFill="1" applyBorder="1" applyProtection="1"/>
    <xf numFmtId="0" fontId="23" fillId="2" borderId="12" xfId="12" applyFont="1" applyFill="1" applyBorder="1"/>
    <xf numFmtId="0" fontId="24" fillId="2" borderId="8" xfId="12" applyFont="1" applyFill="1" applyBorder="1"/>
    <xf numFmtId="2" fontId="22" fillId="2" borderId="0" xfId="12" applyNumberFormat="1" applyFont="1" applyFill="1"/>
    <xf numFmtId="0" fontId="39" fillId="2" borderId="9" xfId="12" applyFont="1" applyFill="1" applyBorder="1" applyAlignment="1" applyProtection="1">
      <alignment horizontal="left"/>
      <protection locked="0"/>
    </xf>
    <xf numFmtId="0" fontId="23" fillId="2" borderId="18" xfId="12" applyFont="1" applyFill="1" applyBorder="1"/>
    <xf numFmtId="0" fontId="24" fillId="2" borderId="16" xfId="12" applyFont="1" applyFill="1" applyBorder="1"/>
    <xf numFmtId="0" fontId="24" fillId="2" borderId="18" xfId="12" applyFont="1" applyFill="1" applyBorder="1"/>
    <xf numFmtId="0" fontId="40" fillId="2" borderId="9" xfId="12" applyFont="1" applyFill="1" applyBorder="1" applyAlignment="1" applyProtection="1">
      <alignment horizontal="left"/>
    </xf>
    <xf numFmtId="0" fontId="40" fillId="2" borderId="9" xfId="12" applyFont="1" applyFill="1" applyBorder="1" applyAlignment="1" applyProtection="1">
      <alignment horizontal="left"/>
      <protection locked="0"/>
    </xf>
    <xf numFmtId="0" fontId="40" fillId="2" borderId="16" xfId="12" applyFont="1" applyFill="1" applyBorder="1"/>
    <xf numFmtId="0" fontId="40" fillId="2" borderId="16" xfId="12" applyFont="1" applyFill="1" applyBorder="1" applyAlignment="1" applyProtection="1">
      <alignment horizontal="left"/>
      <protection locked="0"/>
    </xf>
    <xf numFmtId="0" fontId="41" fillId="2" borderId="9" xfId="12" applyFont="1" applyFill="1" applyBorder="1" applyProtection="1"/>
    <xf numFmtId="0" fontId="41" fillId="2" borderId="16" xfId="12" applyFont="1" applyFill="1" applyBorder="1"/>
    <xf numFmtId="0" fontId="41" fillId="2" borderId="16" xfId="12" applyFont="1" applyFill="1" applyBorder="1" applyAlignment="1" applyProtection="1">
      <alignment horizontal="left"/>
      <protection locked="0"/>
    </xf>
    <xf numFmtId="0" fontId="39" fillId="2" borderId="0" xfId="12" applyFont="1" applyFill="1" applyBorder="1" applyAlignment="1" applyProtection="1">
      <alignment horizontal="left"/>
      <protection locked="0"/>
    </xf>
    <xf numFmtId="0" fontId="39" fillId="2" borderId="0" xfId="12" applyFont="1" applyFill="1"/>
    <xf numFmtId="0" fontId="40" fillId="2" borderId="9" xfId="12" applyFont="1" applyFill="1" applyBorder="1" applyProtection="1"/>
    <xf numFmtId="0" fontId="21" fillId="2" borderId="37" xfId="12" applyFont="1" applyFill="1" applyBorder="1" applyProtection="1"/>
    <xf numFmtId="0" fontId="11" fillId="2" borderId="15" xfId="12" applyFont="1" applyFill="1" applyBorder="1" applyAlignment="1" applyProtection="1">
      <alignment horizontal="left"/>
    </xf>
    <xf numFmtId="0" fontId="25" fillId="2" borderId="12" xfId="12" applyFont="1" applyFill="1" applyBorder="1" applyProtection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top"/>
    </xf>
    <xf numFmtId="0" fontId="42" fillId="2" borderId="9" xfId="12" applyFont="1" applyFill="1" applyBorder="1"/>
    <xf numFmtId="0" fontId="42" fillId="2" borderId="9" xfId="12" applyFont="1" applyFill="1" applyBorder="1" applyAlignment="1" applyProtection="1">
      <alignment horizontal="left"/>
      <protection locked="0"/>
    </xf>
    <xf numFmtId="0" fontId="43" fillId="2" borderId="9" xfId="12" applyFont="1" applyFill="1" applyBorder="1" applyAlignment="1" applyProtection="1">
      <alignment horizontal="left"/>
      <protection locked="0"/>
    </xf>
    <xf numFmtId="0" fontId="44" fillId="2" borderId="9" xfId="12" applyFont="1" applyFill="1" applyBorder="1"/>
    <xf numFmtId="0" fontId="44" fillId="2" borderId="16" xfId="12" applyFont="1" applyFill="1" applyBorder="1"/>
    <xf numFmtId="0" fontId="44" fillId="2" borderId="9" xfId="12" applyFont="1" applyFill="1" applyBorder="1" applyAlignment="1">
      <alignment horizontal="left"/>
    </xf>
    <xf numFmtId="0" fontId="11" fillId="2" borderId="37" xfId="12" quotePrefix="1" applyFont="1" applyFill="1" applyBorder="1" applyAlignment="1" applyProtection="1">
      <alignment horizontal="left"/>
      <protection locked="0"/>
    </xf>
    <xf numFmtId="0" fontId="11" fillId="2" borderId="38" xfId="12" applyFont="1" applyFill="1" applyBorder="1"/>
    <xf numFmtId="0" fontId="0" fillId="0" borderId="0" xfId="0" applyAlignment="1">
      <alignment horizontal="center" vertical="center"/>
    </xf>
    <xf numFmtId="2" fontId="11" fillId="2" borderId="0" xfId="12" applyNumberFormat="1" applyFont="1" applyFill="1" applyAlignment="1">
      <alignment horizontal="center"/>
    </xf>
    <xf numFmtId="0" fontId="32" fillId="3" borderId="0" xfId="0" applyFont="1" applyFill="1" applyAlignment="1">
      <alignment horizontal="center" vertical="center"/>
    </xf>
    <xf numFmtId="0" fontId="16" fillId="2" borderId="3" xfId="12" applyFont="1" applyFill="1" applyBorder="1" applyAlignment="1" applyProtection="1">
      <alignment horizontal="center" vertical="top"/>
      <protection locked="0"/>
    </xf>
    <xf numFmtId="0" fontId="16" fillId="2" borderId="39" xfId="12" applyFont="1" applyFill="1" applyBorder="1" applyAlignment="1" applyProtection="1">
      <alignment horizontal="center" vertical="top"/>
      <protection locked="0"/>
    </xf>
    <xf numFmtId="0" fontId="15" fillId="2" borderId="40" xfId="12" applyFont="1" applyFill="1" applyBorder="1" applyAlignment="1" applyProtection="1">
      <alignment vertical="center"/>
      <protection locked="0"/>
    </xf>
    <xf numFmtId="0" fontId="12" fillId="2" borderId="3" xfId="12" applyFont="1" applyFill="1" applyBorder="1" applyAlignment="1" applyProtection="1">
      <alignment horizontal="left" vertical="center"/>
      <protection locked="0"/>
    </xf>
    <xf numFmtId="0" fontId="6" fillId="2" borderId="0" xfId="12" applyFont="1" applyFill="1" applyBorder="1" applyAlignment="1">
      <alignment horizontal="center"/>
    </xf>
    <xf numFmtId="0" fontId="45" fillId="2" borderId="2" xfId="12" applyFont="1" applyFill="1" applyBorder="1" applyAlignment="1">
      <alignment horizontal="center" vertical="center" wrapText="1"/>
    </xf>
    <xf numFmtId="0" fontId="45" fillId="2" borderId="20" xfId="12" applyFont="1" applyFill="1" applyBorder="1" applyAlignment="1">
      <alignment horizontal="center" vertical="center"/>
    </xf>
    <xf numFmtId="0" fontId="45" fillId="2" borderId="41" xfId="12" applyFont="1" applyFill="1" applyBorder="1" applyAlignment="1">
      <alignment horizontal="center" vertical="center"/>
    </xf>
    <xf numFmtId="0" fontId="45" fillId="2" borderId="42" xfId="12" applyFont="1" applyFill="1" applyBorder="1" applyAlignment="1">
      <alignment horizontal="center" vertical="center"/>
    </xf>
    <xf numFmtId="0" fontId="45" fillId="2" borderId="3" xfId="12" applyFont="1" applyFill="1" applyBorder="1" applyAlignment="1">
      <alignment horizontal="center" vertical="center"/>
    </xf>
    <xf numFmtId="0" fontId="45" fillId="2" borderId="43" xfId="12" applyFont="1" applyFill="1" applyBorder="1" applyAlignment="1">
      <alignment horizontal="center" vertical="center"/>
    </xf>
    <xf numFmtId="0" fontId="11" fillId="2" borderId="44" xfId="12" applyFont="1" applyFill="1" applyBorder="1" applyAlignment="1" applyProtection="1">
      <alignment horizontal="center" vertical="top" textRotation="255"/>
    </xf>
    <xf numFmtId="0" fontId="11" fillId="2" borderId="45" xfId="12" applyFont="1" applyFill="1" applyBorder="1" applyAlignment="1" applyProtection="1">
      <alignment horizontal="center" vertical="top" textRotation="255"/>
    </xf>
    <xf numFmtId="0" fontId="11" fillId="2" borderId="46" xfId="12" applyFont="1" applyFill="1" applyBorder="1" applyAlignment="1" applyProtection="1">
      <alignment horizontal="center" vertical="top" textRotation="255"/>
    </xf>
    <xf numFmtId="0" fontId="27" fillId="2" borderId="47" xfId="12" applyFont="1" applyFill="1" applyBorder="1" applyAlignment="1">
      <alignment horizontal="center" vertical="center" wrapText="1"/>
    </xf>
    <xf numFmtId="0" fontId="27" fillId="2" borderId="31" xfId="12" applyFont="1" applyFill="1" applyBorder="1" applyAlignment="1">
      <alignment horizontal="center" vertical="center" wrapText="1"/>
    </xf>
    <xf numFmtId="0" fontId="27" fillId="2" borderId="30" xfId="12" applyFont="1" applyFill="1" applyBorder="1" applyAlignment="1">
      <alignment horizontal="center" vertical="center" wrapText="1"/>
    </xf>
    <xf numFmtId="0" fontId="27" fillId="2" borderId="23" xfId="12" applyFont="1" applyFill="1" applyBorder="1" applyAlignment="1">
      <alignment horizontal="center" vertical="center" wrapText="1"/>
    </xf>
    <xf numFmtId="0" fontId="27" fillId="2" borderId="7" xfId="12" applyFont="1" applyFill="1" applyBorder="1" applyAlignment="1">
      <alignment horizontal="center" vertical="center" wrapText="1"/>
    </xf>
    <xf numFmtId="0" fontId="27" fillId="2" borderId="33" xfId="12" applyFont="1" applyFill="1" applyBorder="1" applyAlignment="1">
      <alignment horizontal="center" vertical="center" wrapText="1"/>
    </xf>
    <xf numFmtId="0" fontId="28" fillId="2" borderId="20" xfId="12" applyFont="1" applyFill="1" applyBorder="1" applyAlignment="1" applyProtection="1">
      <alignment horizontal="left" vertical="center"/>
    </xf>
    <xf numFmtId="0" fontId="29" fillId="2" borderId="20" xfId="12" applyFont="1" applyFill="1" applyBorder="1" applyAlignment="1" applyProtection="1">
      <alignment horizontal="left" vertical="center"/>
    </xf>
    <xf numFmtId="0" fontId="29" fillId="2" borderId="41" xfId="12" applyFont="1" applyFill="1" applyBorder="1" applyAlignment="1" applyProtection="1">
      <alignment horizontal="left" vertical="center"/>
    </xf>
    <xf numFmtId="0" fontId="29" fillId="2" borderId="3" xfId="12" applyFont="1" applyFill="1" applyBorder="1" applyAlignment="1" applyProtection="1">
      <alignment horizontal="left" vertical="center"/>
    </xf>
    <xf numFmtId="0" fontId="29" fillId="2" borderId="43" xfId="12" applyFont="1" applyFill="1" applyBorder="1" applyAlignment="1" applyProtection="1">
      <alignment horizontal="left" vertical="center"/>
    </xf>
  </cellXfs>
  <cellStyles count="18">
    <cellStyle name="Comma [0]_Full Year FY96" xfId="1" xr:uid="{C97C63E1-3505-408A-BBE0-44C76AEFA286}"/>
    <cellStyle name="Comma_Full Year FY96" xfId="2" xr:uid="{C17F685F-8126-4807-9DB2-7BD2F4D80E8B}"/>
    <cellStyle name="Currency [0]_Full Year FY96" xfId="3" xr:uid="{07EB9B2F-C811-4D36-8361-A2D6E6358A0B}"/>
    <cellStyle name="Currency_Full Year FY96" xfId="4" xr:uid="{0B521488-2B14-4F44-BCD5-15556944AD4F}"/>
    <cellStyle name="Normal_Assumptions" xfId="5" xr:uid="{A4007FF4-8F21-4D58-A94F-452B9E7518E7}"/>
    <cellStyle name="? [0.00]_?" xfId="6" xr:uid="{4D8A8561-9AC5-40B4-84D6-81E93B2BD627}"/>
    <cellStyle name="?_?" xfId="7" xr:uid="{E7279810-86FA-484C-85C8-E0472B03390D}"/>
    <cellStyle name=" [0.00]_10?" xfId="8" xr:uid="{297AF20D-605D-4BAD-95A9-FE833C0F8796}"/>
    <cellStyle name="_10?" xfId="9" xr:uid="{F01A9E1F-BD2A-40CF-8C16-7CB3EBDC33BD}"/>
    <cellStyle name="?_8? (2)" xfId="10" xr:uid="{1D7927A1-41E9-4261-BFE3-DEE41201D44C}"/>
    <cellStyle name="一般 2" xfId="11" xr:uid="{3F4C5388-B09A-43DC-BAD7-4B25F274109C}"/>
    <cellStyle name="一般_技術検討報告空白" xfId="12" xr:uid="{5990446C-B3FC-43B4-A0E5-E3B4DCEFE5AC}"/>
    <cellStyle name="貨幣[0]_CP01A95" xfId="13" xr:uid="{BA6217C2-914E-4BD4-9C36-9B6996409A7D}"/>
    <cellStyle name="桁?切? [0.00]_laroux" xfId="14" xr:uid="{D3E97DD2-786A-4184-B85B-F9A9ABFAC3B9}"/>
    <cellStyle name="桁?切?_laroux" xfId="15" xr:uid="{D51F06E0-E235-4BE3-A7D3-C35D5AFA2FFA}"/>
    <cellStyle name="標準" xfId="0" builtinId="0"/>
    <cellStyle name="隨後的超連結_2005年上期EE-EP經費予算" xfId="16" xr:uid="{424ACBBC-C0A4-4E37-B5DC-0C7812DBE620}"/>
    <cellStyle name="內容" xfId="17" xr:uid="{57643BCE-202B-43CC-9AEC-6F3CE2B437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66675</xdr:rowOff>
    </xdr:from>
    <xdr:to>
      <xdr:col>4</xdr:col>
      <xdr:colOff>66675</xdr:colOff>
      <xdr:row>0</xdr:row>
      <xdr:rowOff>323850</xdr:rowOff>
    </xdr:to>
    <xdr:pic>
      <xdr:nvPicPr>
        <xdr:cNvPr id="125823" name="圖片 6">
          <a:extLst>
            <a:ext uri="{FF2B5EF4-FFF2-40B4-BE49-F238E27FC236}">
              <a16:creationId xmlns:a16="http://schemas.microsoft.com/office/drawing/2014/main" id="{ABE9D7E6-C441-A68C-ABE5-337C07B58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6675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504825</xdr:colOff>
      <xdr:row>3</xdr:row>
      <xdr:rowOff>85725</xdr:rowOff>
    </xdr:from>
    <xdr:ext cx="841375" cy="237053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CBD764E7-1F4D-C43F-2B25-ECE275C675F3}"/>
            </a:ext>
          </a:extLst>
        </xdr:cNvPr>
        <xdr:cNvSpPr txBox="1">
          <a:spLocks noChangeArrowheads="1"/>
        </xdr:cNvSpPr>
      </xdr:nvSpPr>
      <xdr:spPr bwMode="auto">
        <a:xfrm>
          <a:off x="6162675" y="1143000"/>
          <a:ext cx="841375" cy="237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”</a:t>
          </a:r>
          <a:r>
            <a:rPr lang="en-US" altLang="zh-TW" sz="12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25.09.09</a:t>
          </a:r>
        </a:p>
      </xdr:txBody>
    </xdr:sp>
    <xdr:clientData/>
  </xdr:oneCellAnchor>
  <xdr:oneCellAnchor>
    <xdr:from>
      <xdr:col>11</xdr:col>
      <xdr:colOff>502626</xdr:colOff>
      <xdr:row>4</xdr:row>
      <xdr:rowOff>76204</xdr:rowOff>
    </xdr:from>
    <xdr:ext cx="841375" cy="237053"/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F2701248-1FD8-4935-3515-48D8B53D4195}"/>
            </a:ext>
          </a:extLst>
        </xdr:cNvPr>
        <xdr:cNvSpPr txBox="1">
          <a:spLocks noChangeArrowheads="1"/>
        </xdr:cNvSpPr>
      </xdr:nvSpPr>
      <xdr:spPr bwMode="auto">
        <a:xfrm>
          <a:off x="6151684" y="1512281"/>
          <a:ext cx="841375" cy="237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zh-TW" altLang="en-US" sz="1200" b="0" i="0" strike="noStrike">
              <a:solidFill>
                <a:sysClr val="windowText" lastClr="000000"/>
              </a:solidFill>
              <a:latin typeface="ＭＳ Ｐゴシック"/>
              <a:ea typeface="ＭＳ Ｐゴシック"/>
            </a:rPr>
            <a:t>”</a:t>
          </a:r>
          <a:r>
            <a:rPr lang="en-US" altLang="zh-TW" sz="1200" b="0" i="0" strike="noStrike">
              <a:solidFill>
                <a:sysClr val="windowText" lastClr="000000"/>
              </a:solidFill>
              <a:latin typeface="ＭＳ Ｐゴシック"/>
              <a:ea typeface="ＭＳ Ｐゴシック"/>
            </a:rPr>
            <a:t>25.0</a:t>
          </a:r>
          <a:r>
            <a:rPr lang="en-US" altLang="ja-JP" sz="1200" b="0" i="0" strike="noStrike">
              <a:solidFill>
                <a:sysClr val="windowText" lastClr="000000"/>
              </a:solidFill>
              <a:latin typeface="ＭＳ Ｐゴシック"/>
              <a:ea typeface="ＭＳ Ｐゴシック"/>
            </a:rPr>
            <a:t>9</a:t>
          </a:r>
          <a:r>
            <a:rPr lang="en-US" altLang="zh-TW" sz="1200" b="0" i="0" strike="noStrike">
              <a:solidFill>
                <a:sysClr val="windowText" lastClr="000000"/>
              </a:solidFill>
              <a:latin typeface="ＭＳ Ｐゴシック"/>
              <a:ea typeface="ＭＳ Ｐゴシック"/>
            </a:rPr>
            <a:t>.17</a:t>
          </a:r>
        </a:p>
      </xdr:txBody>
    </xdr:sp>
    <xdr:clientData/>
  </xdr:oneCellAnchor>
  <xdr:twoCellAnchor editAs="oneCell">
    <xdr:from>
      <xdr:col>1</xdr:col>
      <xdr:colOff>47625</xdr:colOff>
      <xdr:row>41</xdr:row>
      <xdr:rowOff>0</xdr:rowOff>
    </xdr:from>
    <xdr:to>
      <xdr:col>4</xdr:col>
      <xdr:colOff>47625</xdr:colOff>
      <xdr:row>41</xdr:row>
      <xdr:rowOff>257175</xdr:rowOff>
    </xdr:to>
    <xdr:pic>
      <xdr:nvPicPr>
        <xdr:cNvPr id="125826" name="圖片 6">
          <a:extLst>
            <a:ext uri="{FF2B5EF4-FFF2-40B4-BE49-F238E27FC236}">
              <a16:creationId xmlns:a16="http://schemas.microsoft.com/office/drawing/2014/main" id="{581B6FE3-C0F8-A2DE-1D7F-7C5B1808F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1287125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86</xdr:row>
      <xdr:rowOff>0</xdr:rowOff>
    </xdr:from>
    <xdr:to>
      <xdr:col>4</xdr:col>
      <xdr:colOff>47625</xdr:colOff>
      <xdr:row>86</xdr:row>
      <xdr:rowOff>257175</xdr:rowOff>
    </xdr:to>
    <xdr:pic>
      <xdr:nvPicPr>
        <xdr:cNvPr id="125827" name="圖片 6">
          <a:extLst>
            <a:ext uri="{FF2B5EF4-FFF2-40B4-BE49-F238E27FC236}">
              <a16:creationId xmlns:a16="http://schemas.microsoft.com/office/drawing/2014/main" id="{E8539425-4150-DDF5-C163-685A071B3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821900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131</xdr:row>
      <xdr:rowOff>0</xdr:rowOff>
    </xdr:from>
    <xdr:to>
      <xdr:col>4</xdr:col>
      <xdr:colOff>47625</xdr:colOff>
      <xdr:row>131</xdr:row>
      <xdr:rowOff>257175</xdr:rowOff>
    </xdr:to>
    <xdr:pic>
      <xdr:nvPicPr>
        <xdr:cNvPr id="125828" name="圖片 6">
          <a:extLst>
            <a:ext uri="{FF2B5EF4-FFF2-40B4-BE49-F238E27FC236}">
              <a16:creationId xmlns:a16="http://schemas.microsoft.com/office/drawing/2014/main" id="{762F0F9D-1BCA-0DBA-8509-3BDF1DED2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4356675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176</xdr:row>
      <xdr:rowOff>0</xdr:rowOff>
    </xdr:from>
    <xdr:to>
      <xdr:col>4</xdr:col>
      <xdr:colOff>47625</xdr:colOff>
      <xdr:row>176</xdr:row>
      <xdr:rowOff>257175</xdr:rowOff>
    </xdr:to>
    <xdr:pic>
      <xdr:nvPicPr>
        <xdr:cNvPr id="125829" name="圖片 6">
          <a:extLst>
            <a:ext uri="{FF2B5EF4-FFF2-40B4-BE49-F238E27FC236}">
              <a16:creationId xmlns:a16="http://schemas.microsoft.com/office/drawing/2014/main" id="{BA516FA1-5FF9-C69C-F6E3-C4585D6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5891450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221</xdr:row>
      <xdr:rowOff>0</xdr:rowOff>
    </xdr:from>
    <xdr:to>
      <xdr:col>4</xdr:col>
      <xdr:colOff>47625</xdr:colOff>
      <xdr:row>222</xdr:row>
      <xdr:rowOff>0</xdr:rowOff>
    </xdr:to>
    <xdr:pic>
      <xdr:nvPicPr>
        <xdr:cNvPr id="125830" name="圖片 6">
          <a:extLst>
            <a:ext uri="{FF2B5EF4-FFF2-40B4-BE49-F238E27FC236}">
              <a16:creationId xmlns:a16="http://schemas.microsoft.com/office/drawing/2014/main" id="{88A3B851-FE2A-450A-4EFD-0B0AC7578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7492900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266</xdr:row>
      <xdr:rowOff>0</xdr:rowOff>
    </xdr:from>
    <xdr:to>
      <xdr:col>4</xdr:col>
      <xdr:colOff>47625</xdr:colOff>
      <xdr:row>266</xdr:row>
      <xdr:rowOff>257175</xdr:rowOff>
    </xdr:to>
    <xdr:pic>
      <xdr:nvPicPr>
        <xdr:cNvPr id="125831" name="圖片 6">
          <a:extLst>
            <a:ext uri="{FF2B5EF4-FFF2-40B4-BE49-F238E27FC236}">
              <a16:creationId xmlns:a16="http://schemas.microsoft.com/office/drawing/2014/main" id="{94015E7B-CE1D-D710-7FE2-074B40E31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8999100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311</xdr:row>
      <xdr:rowOff>0</xdr:rowOff>
    </xdr:from>
    <xdr:to>
      <xdr:col>4</xdr:col>
      <xdr:colOff>47625</xdr:colOff>
      <xdr:row>311</xdr:row>
      <xdr:rowOff>257175</xdr:rowOff>
    </xdr:to>
    <xdr:pic>
      <xdr:nvPicPr>
        <xdr:cNvPr id="125832" name="圖片 6">
          <a:extLst>
            <a:ext uri="{FF2B5EF4-FFF2-40B4-BE49-F238E27FC236}">
              <a16:creationId xmlns:a16="http://schemas.microsoft.com/office/drawing/2014/main" id="{E7ED4DF0-06CA-3FFD-BBB5-5CE6C54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0533875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356</xdr:row>
      <xdr:rowOff>0</xdr:rowOff>
    </xdr:from>
    <xdr:to>
      <xdr:col>4</xdr:col>
      <xdr:colOff>47625</xdr:colOff>
      <xdr:row>356</xdr:row>
      <xdr:rowOff>257175</xdr:rowOff>
    </xdr:to>
    <xdr:pic>
      <xdr:nvPicPr>
        <xdr:cNvPr id="125833" name="圖片 6">
          <a:extLst>
            <a:ext uri="{FF2B5EF4-FFF2-40B4-BE49-F238E27FC236}">
              <a16:creationId xmlns:a16="http://schemas.microsoft.com/office/drawing/2014/main" id="{122CA31D-C3D7-606D-B49F-30EE5DEF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2068650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401</xdr:row>
      <xdr:rowOff>0</xdr:rowOff>
    </xdr:from>
    <xdr:to>
      <xdr:col>4</xdr:col>
      <xdr:colOff>47625</xdr:colOff>
      <xdr:row>401</xdr:row>
      <xdr:rowOff>257175</xdr:rowOff>
    </xdr:to>
    <xdr:pic>
      <xdr:nvPicPr>
        <xdr:cNvPr id="125834" name="圖片 6">
          <a:extLst>
            <a:ext uri="{FF2B5EF4-FFF2-40B4-BE49-F238E27FC236}">
              <a16:creationId xmlns:a16="http://schemas.microsoft.com/office/drawing/2014/main" id="{1DBE04BC-17BF-B4DA-8DB3-47A3CB0DD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3603425"/>
          <a:ext cx="10953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E86D-F490-4EE7-8AFC-872C7F871BFB}">
  <sheetPr codeName="工作表1"/>
  <dimension ref="A1:AB445"/>
  <sheetViews>
    <sheetView tabSelected="1" view="pageBreakPreview" topLeftCell="A405" zoomScaleNormal="100" zoomScaleSheetLayoutView="100" workbookViewId="0">
      <selection activeCell="E443" sqref="E443"/>
    </sheetView>
  </sheetViews>
  <sheetFormatPr defaultColWidth="10" defaultRowHeight="14.25"/>
  <cols>
    <col min="1" max="1" width="2.125" style="6" customWidth="1"/>
    <col min="2" max="2" width="3.875" style="6" customWidth="1"/>
    <col min="3" max="3" width="4.125" style="6" customWidth="1"/>
    <col min="4" max="4" width="6.375" style="6" customWidth="1"/>
    <col min="5" max="5" width="20.875" style="6" customWidth="1"/>
    <col min="6" max="6" width="6.625" style="6" customWidth="1"/>
    <col min="7" max="7" width="6" style="6" customWidth="1"/>
    <col min="8" max="8" width="6.625" style="6" customWidth="1"/>
    <col min="9" max="9" width="6" style="6" customWidth="1"/>
    <col min="10" max="10" width="6.625" style="6" customWidth="1"/>
    <col min="11" max="11" width="5" style="6" customWidth="1"/>
    <col min="12" max="12" width="7.5" style="6" customWidth="1"/>
    <col min="13" max="13" width="12.625" style="6" customWidth="1"/>
    <col min="14" max="14" width="5.5" style="6" customWidth="1"/>
    <col min="15" max="16" width="8.5" style="6" customWidth="1"/>
    <col min="17" max="17" width="11.25" style="7" customWidth="1"/>
    <col min="18" max="19" width="11.25" style="7" bestFit="1" customWidth="1"/>
    <col min="20" max="21" width="8.5" style="7" customWidth="1"/>
    <col min="22" max="22" width="10.625" style="7" customWidth="1"/>
    <col min="23" max="24" width="10.625" style="6" customWidth="1"/>
    <col min="25" max="16384" width="10" style="6"/>
  </cols>
  <sheetData>
    <row r="1" spans="2:24" ht="27.75" customHeight="1" thickBot="1">
      <c r="B1" s="4"/>
      <c r="C1" s="5"/>
      <c r="D1" s="5"/>
      <c r="E1" s="4"/>
      <c r="F1" s="4"/>
      <c r="G1" s="4"/>
      <c r="H1" s="4"/>
      <c r="I1" s="64" t="s">
        <v>20</v>
      </c>
      <c r="J1" s="64"/>
      <c r="L1" s="64" t="str">
        <f>"1/"&amp;$O3</f>
        <v>1/3</v>
      </c>
      <c r="M1" s="63" t="s">
        <v>9</v>
      </c>
      <c r="Q1" s="121" t="s">
        <v>23</v>
      </c>
      <c r="S1" s="121" t="s">
        <v>24</v>
      </c>
    </row>
    <row r="2" spans="2:24" ht="27.75" customHeight="1">
      <c r="B2" s="128" t="s">
        <v>7</v>
      </c>
      <c r="C2" s="129"/>
      <c r="D2" s="129"/>
      <c r="E2" s="130"/>
      <c r="F2" s="55" t="s">
        <v>1</v>
      </c>
      <c r="G2" s="143" t="s">
        <v>16</v>
      </c>
      <c r="H2" s="144"/>
      <c r="I2" s="145"/>
      <c r="J2" s="60" t="s">
        <v>15</v>
      </c>
      <c r="K2" s="125"/>
      <c r="L2" s="125"/>
      <c r="M2" s="74"/>
      <c r="N2" s="9"/>
      <c r="O2" t="s">
        <v>17</v>
      </c>
      <c r="Q2" s="7" t="s">
        <v>18</v>
      </c>
      <c r="S2" s="122" t="s">
        <v>25</v>
      </c>
    </row>
    <row r="3" spans="2:24" ht="27.75" customHeight="1">
      <c r="B3" s="131"/>
      <c r="C3" s="132"/>
      <c r="D3" s="132"/>
      <c r="E3" s="133"/>
      <c r="F3" s="10"/>
      <c r="G3" s="146"/>
      <c r="H3" s="146"/>
      <c r="I3" s="147"/>
      <c r="J3" s="61" t="s">
        <v>14</v>
      </c>
      <c r="K3" s="126"/>
      <c r="L3" s="123"/>
      <c r="M3" s="124"/>
      <c r="N3" s="9"/>
      <c r="O3" s="120">
        <v>3</v>
      </c>
      <c r="Q3" s="7" t="s">
        <v>19</v>
      </c>
      <c r="S3" s="122" t="s">
        <v>26</v>
      </c>
    </row>
    <row r="4" spans="2:24" ht="30" customHeight="1">
      <c r="B4" s="137" t="s">
        <v>37</v>
      </c>
      <c r="C4" s="138"/>
      <c r="D4" s="138"/>
      <c r="E4" s="139"/>
      <c r="F4" s="68" t="s">
        <v>12</v>
      </c>
      <c r="G4" s="65"/>
      <c r="H4" s="66" t="s">
        <v>10</v>
      </c>
      <c r="I4" s="13"/>
      <c r="J4" s="67" t="s">
        <v>11</v>
      </c>
      <c r="K4" s="65"/>
      <c r="L4" s="58" t="s">
        <v>13</v>
      </c>
      <c r="M4" s="57"/>
      <c r="N4" s="15"/>
      <c r="Q4" s="7" t="s">
        <v>20</v>
      </c>
      <c r="S4" s="122" t="s">
        <v>27</v>
      </c>
    </row>
    <row r="5" spans="2:24" ht="30" customHeight="1" thickBot="1">
      <c r="B5" s="140"/>
      <c r="C5" s="141"/>
      <c r="D5" s="141"/>
      <c r="E5" s="142"/>
      <c r="F5" s="69"/>
      <c r="G5" s="70"/>
      <c r="H5" s="17"/>
      <c r="I5" s="17"/>
      <c r="J5" s="16"/>
      <c r="K5" s="71"/>
      <c r="L5" s="59" t="s">
        <v>6</v>
      </c>
      <c r="M5" s="56"/>
      <c r="N5" s="9"/>
      <c r="P5" s="62"/>
      <c r="Q5" s="7" t="s">
        <v>21</v>
      </c>
      <c r="S5" s="122" t="s">
        <v>30</v>
      </c>
    </row>
    <row r="6" spans="2:24" ht="21" customHeight="1">
      <c r="B6" s="106" t="s">
        <v>2</v>
      </c>
      <c r="C6" s="20"/>
      <c r="D6" s="76"/>
      <c r="E6" s="20"/>
      <c r="F6" s="20"/>
      <c r="G6" s="21"/>
      <c r="H6" s="20"/>
      <c r="I6" s="20"/>
      <c r="J6" s="20"/>
      <c r="K6" s="20"/>
      <c r="L6" s="20"/>
      <c r="M6" s="22"/>
      <c r="N6" s="9"/>
      <c r="Q6" s="7" t="s">
        <v>22</v>
      </c>
      <c r="S6" s="122" t="s">
        <v>28</v>
      </c>
      <c r="T6" s="109"/>
    </row>
    <row r="7" spans="2:24" ht="21" customHeight="1">
      <c r="B7" s="107"/>
      <c r="C7" s="115"/>
      <c r="D7" s="96"/>
      <c r="E7" s="97"/>
      <c r="F7" s="81"/>
      <c r="G7" s="81"/>
      <c r="H7" s="81"/>
      <c r="I7" s="81"/>
      <c r="J7" s="81"/>
      <c r="K7" s="81"/>
      <c r="L7" s="81"/>
      <c r="M7" s="24"/>
      <c r="N7" s="9"/>
      <c r="S7" s="122" t="s">
        <v>29</v>
      </c>
      <c r="T7" s="110"/>
    </row>
    <row r="8" spans="2:24" ht="21" customHeight="1">
      <c r="B8" s="107"/>
      <c r="C8" s="116"/>
      <c r="D8" s="96"/>
      <c r="E8" s="97"/>
      <c r="F8" s="81"/>
      <c r="G8" s="81"/>
      <c r="H8" s="81"/>
      <c r="I8" s="81"/>
      <c r="J8" s="81"/>
      <c r="K8" s="81"/>
      <c r="L8" s="81"/>
      <c r="M8" s="24"/>
      <c r="N8" s="9"/>
      <c r="S8" s="122" t="s">
        <v>31</v>
      </c>
      <c r="T8" s="111"/>
      <c r="V8" s="109" t="str">
        <f>LEFT(Q11,1)</f>
        <v/>
      </c>
      <c r="W8" s="109"/>
      <c r="X8" s="109"/>
    </row>
    <row r="9" spans="2:24" ht="21" customHeight="1">
      <c r="B9" s="29"/>
      <c r="C9" s="116"/>
      <c r="D9" s="98"/>
      <c r="E9" s="99"/>
      <c r="F9" s="82"/>
      <c r="G9" s="82"/>
      <c r="H9" s="82"/>
      <c r="I9" s="82"/>
      <c r="J9" s="82"/>
      <c r="K9" s="82"/>
      <c r="L9" s="82"/>
      <c r="M9" s="31"/>
      <c r="N9" s="9"/>
      <c r="S9" s="121" t="s">
        <v>32</v>
      </c>
      <c r="V9" s="110"/>
      <c r="W9" s="110"/>
      <c r="X9" s="110"/>
    </row>
    <row r="10" spans="2:24" ht="21" customHeight="1">
      <c r="B10" s="107"/>
      <c r="C10" s="101"/>
      <c r="D10" s="96"/>
      <c r="E10" s="97"/>
      <c r="F10" s="23"/>
      <c r="G10" s="23"/>
      <c r="H10" s="23"/>
      <c r="I10" s="23"/>
      <c r="J10" s="23"/>
      <c r="K10" s="23"/>
      <c r="L10" s="23"/>
      <c r="M10" s="24"/>
      <c r="N10" s="9"/>
      <c r="S10" s="121" t="s">
        <v>33</v>
      </c>
      <c r="V10" s="111" t="str">
        <f>RIGHT(Q11,2)</f>
        <v/>
      </c>
      <c r="W10" s="111"/>
      <c r="X10" s="111"/>
    </row>
    <row r="11" spans="2:24" ht="21" customHeight="1" thickBot="1">
      <c r="B11" s="25"/>
      <c r="C11" s="108"/>
      <c r="D11" s="77"/>
      <c r="E11" s="26"/>
      <c r="F11" s="26"/>
      <c r="G11" s="26"/>
      <c r="H11" s="26"/>
      <c r="I11" s="26"/>
      <c r="J11" s="26"/>
      <c r="K11" s="26"/>
      <c r="L11" s="26"/>
      <c r="M11" s="27"/>
      <c r="N11" s="9"/>
      <c r="S11" s="121" t="s">
        <v>34</v>
      </c>
    </row>
    <row r="12" spans="2:24" ht="19.5" customHeight="1">
      <c r="B12" s="75" t="s">
        <v>3</v>
      </c>
      <c r="C12" s="88"/>
      <c r="D12" s="20"/>
      <c r="E12" s="20"/>
      <c r="F12" s="20"/>
      <c r="G12" s="20"/>
      <c r="H12" s="20"/>
      <c r="I12" s="20"/>
      <c r="J12" s="20"/>
      <c r="K12" s="20"/>
      <c r="L12" s="20"/>
      <c r="M12" s="22"/>
      <c r="N12" s="9"/>
      <c r="S12" s="7" t="s">
        <v>35</v>
      </c>
    </row>
    <row r="13" spans="2:24" ht="19.5" customHeight="1">
      <c r="B13" s="28"/>
      <c r="C13" s="117"/>
      <c r="D13" s="100"/>
      <c r="E13" s="105"/>
      <c r="F13" s="83"/>
      <c r="G13" s="83"/>
      <c r="H13" s="83"/>
      <c r="I13" s="83"/>
      <c r="J13" s="83"/>
      <c r="K13" s="83"/>
      <c r="L13" s="83"/>
      <c r="M13" s="22"/>
      <c r="N13" s="9"/>
      <c r="S13" s="7" t="s">
        <v>36</v>
      </c>
    </row>
    <row r="14" spans="2:24" ht="21" customHeight="1">
      <c r="B14" s="29"/>
      <c r="C14" s="116"/>
      <c r="D14" s="101"/>
      <c r="E14" s="99"/>
      <c r="F14" s="82"/>
      <c r="G14" s="82"/>
      <c r="H14" s="81"/>
      <c r="I14" s="81"/>
      <c r="J14" s="81"/>
      <c r="K14" s="81"/>
      <c r="L14" s="81"/>
      <c r="M14" s="24"/>
      <c r="N14" s="9"/>
    </row>
    <row r="15" spans="2:24" ht="21" customHeight="1">
      <c r="B15" s="29"/>
      <c r="C15" s="117"/>
      <c r="D15" s="102"/>
      <c r="E15" s="98"/>
      <c r="F15" s="82"/>
      <c r="G15" s="82"/>
      <c r="H15" s="81"/>
      <c r="I15" s="81"/>
      <c r="J15" s="81"/>
      <c r="K15" s="81"/>
      <c r="L15" s="81"/>
      <c r="M15" s="24"/>
      <c r="N15" s="9"/>
    </row>
    <row r="16" spans="2:24" ht="21" customHeight="1">
      <c r="B16" s="29"/>
      <c r="C16" s="116"/>
      <c r="D16" s="102"/>
      <c r="E16" s="99"/>
      <c r="F16" s="82"/>
      <c r="G16" s="82"/>
      <c r="H16" s="81"/>
      <c r="I16" s="81"/>
      <c r="J16" s="81"/>
      <c r="K16" s="81"/>
      <c r="L16" s="81"/>
      <c r="M16" s="24"/>
      <c r="N16" s="9"/>
      <c r="O16" s="104"/>
      <c r="P16" s="103"/>
    </row>
    <row r="17" spans="2:28" ht="21" customHeight="1">
      <c r="B17" s="29"/>
      <c r="C17" s="116"/>
      <c r="D17" s="94"/>
      <c r="E17" s="82"/>
      <c r="F17" s="82"/>
      <c r="G17" s="82"/>
      <c r="H17" s="82"/>
      <c r="I17" s="82"/>
      <c r="J17" s="82"/>
      <c r="K17" s="82"/>
      <c r="L17" s="82"/>
      <c r="M17" s="31"/>
      <c r="N17" s="9"/>
      <c r="O17" s="104"/>
      <c r="P17" s="103"/>
    </row>
    <row r="18" spans="2:28" ht="21" customHeight="1">
      <c r="B18" s="29"/>
      <c r="C18" s="101"/>
      <c r="D18" s="94"/>
      <c r="E18" s="82"/>
      <c r="F18" s="82"/>
      <c r="G18" s="82"/>
      <c r="H18" s="82"/>
      <c r="I18" s="82"/>
      <c r="J18" s="82"/>
      <c r="K18" s="82"/>
      <c r="L18" s="82"/>
      <c r="M18" s="31"/>
      <c r="N18" s="9"/>
    </row>
    <row r="19" spans="2:28" ht="21" customHeight="1">
      <c r="B19" s="29"/>
      <c r="C19" s="87"/>
      <c r="D19" s="94"/>
      <c r="E19" s="82"/>
      <c r="F19" s="30"/>
      <c r="G19" s="30"/>
      <c r="H19" s="30"/>
      <c r="I19" s="30"/>
      <c r="J19" s="30"/>
      <c r="K19" s="30"/>
      <c r="L19" s="30"/>
      <c r="M19" s="31"/>
      <c r="N19" s="9"/>
    </row>
    <row r="20" spans="2:28" ht="21" customHeight="1">
      <c r="B20" s="78"/>
      <c r="C20" s="93"/>
      <c r="D20" s="95"/>
      <c r="E20" s="84"/>
      <c r="F20" s="36"/>
      <c r="G20" s="36"/>
      <c r="H20" s="36"/>
      <c r="I20" s="36"/>
      <c r="J20" s="36"/>
      <c r="K20" s="36"/>
      <c r="L20" s="36"/>
      <c r="M20" s="79"/>
      <c r="N20" s="9"/>
    </row>
    <row r="21" spans="2:28" ht="21" customHeight="1" thickBot="1">
      <c r="B21" s="32"/>
      <c r="C21" s="89"/>
      <c r="D21" s="33"/>
      <c r="E21" s="26"/>
      <c r="F21" s="26"/>
      <c r="G21" s="26"/>
      <c r="H21" s="26"/>
      <c r="I21" s="26"/>
      <c r="J21" s="26"/>
      <c r="K21" s="26"/>
      <c r="L21" s="26"/>
      <c r="M21" s="27"/>
      <c r="N21" s="9"/>
    </row>
    <row r="22" spans="2:28" ht="19.5" customHeight="1">
      <c r="B22" s="75" t="s">
        <v>4</v>
      </c>
      <c r="C22" s="90"/>
      <c r="D22" s="34"/>
      <c r="E22" s="18"/>
      <c r="F22" s="20"/>
      <c r="G22" s="20"/>
      <c r="H22" s="20"/>
      <c r="I22" s="20"/>
      <c r="J22" s="20"/>
      <c r="K22" s="20"/>
      <c r="L22" s="20"/>
      <c r="M22" s="22"/>
      <c r="N22" s="9"/>
      <c r="O22" s="91"/>
      <c r="T22" s="6"/>
      <c r="U22" s="6"/>
      <c r="V22" s="6"/>
    </row>
    <row r="23" spans="2:28" ht="21" customHeight="1">
      <c r="B23" s="28"/>
      <c r="C23" s="88"/>
      <c r="D23" s="23"/>
      <c r="E23" s="23"/>
      <c r="F23" s="23"/>
      <c r="G23" s="23"/>
      <c r="H23" s="23"/>
      <c r="I23" s="23"/>
      <c r="J23" s="23"/>
      <c r="K23" s="23"/>
      <c r="L23" s="23"/>
      <c r="M23" s="24"/>
      <c r="N23" s="9"/>
      <c r="T23" s="6"/>
      <c r="U23" s="6"/>
      <c r="V23" s="6"/>
    </row>
    <row r="24" spans="2:28" ht="21" customHeight="1">
      <c r="B24" s="28"/>
      <c r="C24" s="112"/>
      <c r="D24" s="113"/>
      <c r="E24" s="114"/>
      <c r="F24" s="114"/>
      <c r="G24" s="23"/>
      <c r="H24" s="23"/>
      <c r="I24" s="23"/>
      <c r="J24" s="23"/>
      <c r="K24" s="23"/>
      <c r="L24" s="23"/>
      <c r="M24" s="24"/>
      <c r="N24" s="9"/>
      <c r="T24" s="6"/>
      <c r="U24" s="6"/>
      <c r="V24" s="6"/>
    </row>
    <row r="25" spans="2:28" ht="21" customHeight="1">
      <c r="B25" s="28"/>
      <c r="C25" s="112"/>
      <c r="D25" s="113"/>
      <c r="E25" s="114"/>
      <c r="F25" s="114"/>
      <c r="G25" s="23"/>
      <c r="H25" s="23"/>
      <c r="I25" s="23"/>
      <c r="J25" s="23"/>
      <c r="K25" s="23"/>
      <c r="L25" s="23"/>
      <c r="M25" s="24"/>
      <c r="N25" s="9"/>
      <c r="T25" s="6"/>
      <c r="U25" s="6"/>
      <c r="V25" s="6"/>
    </row>
    <row r="26" spans="2:28" ht="21" customHeight="1">
      <c r="B26" s="28"/>
      <c r="C26" s="112"/>
      <c r="D26" s="113"/>
      <c r="E26" s="114"/>
      <c r="F26" s="114"/>
      <c r="G26" s="23"/>
      <c r="H26" s="23"/>
      <c r="I26" s="23"/>
      <c r="J26" s="23"/>
      <c r="K26" s="23"/>
      <c r="L26" s="23"/>
      <c r="M26" s="24"/>
      <c r="N26" s="9"/>
      <c r="T26" s="6"/>
      <c r="U26" s="6"/>
      <c r="V26" s="6"/>
    </row>
    <row r="27" spans="2:28" ht="21" customHeight="1">
      <c r="B27" s="28"/>
      <c r="C27" s="112"/>
      <c r="D27" s="113"/>
      <c r="E27" s="92"/>
      <c r="F27" s="92"/>
      <c r="G27" s="23"/>
      <c r="H27" s="23"/>
      <c r="I27" s="23"/>
      <c r="J27" s="23"/>
      <c r="K27" s="23"/>
      <c r="L27" s="23"/>
      <c r="M27" s="24"/>
      <c r="N27" s="9"/>
      <c r="O27" s="1"/>
      <c r="T27" s="1"/>
      <c r="U27" s="1"/>
      <c r="V27" s="1"/>
      <c r="W27" s="1"/>
      <c r="X27" s="1"/>
      <c r="Y27" s="1"/>
      <c r="Z27" s="1"/>
      <c r="AA27" s="1"/>
      <c r="AB27" s="1"/>
    </row>
    <row r="28" spans="2:28" ht="21" customHeight="1">
      <c r="B28" s="28"/>
      <c r="C28" s="86"/>
      <c r="D28" s="23"/>
      <c r="E28" s="23"/>
      <c r="F28" s="23"/>
      <c r="G28" s="23"/>
      <c r="H28" s="23"/>
      <c r="I28" s="23"/>
      <c r="J28" s="23"/>
      <c r="K28" s="23"/>
      <c r="L28" s="23"/>
      <c r="M28" s="24"/>
      <c r="N28" s="9"/>
      <c r="O28" s="2"/>
      <c r="P28" s="127"/>
      <c r="Q28" s="127"/>
      <c r="R28" s="127"/>
      <c r="S28" s="127"/>
      <c r="T28" s="3"/>
      <c r="U28" s="2"/>
      <c r="V28" s="2"/>
      <c r="W28" s="1"/>
      <c r="X28" s="3"/>
      <c r="Y28" s="127"/>
      <c r="Z28" s="127"/>
      <c r="AA28" s="127"/>
      <c r="AB28" s="127"/>
    </row>
    <row r="29" spans="2:28" ht="21" customHeight="1">
      <c r="B29" s="28"/>
      <c r="C29" s="85"/>
      <c r="D29" s="23"/>
      <c r="E29" s="23"/>
      <c r="F29" s="23"/>
      <c r="G29" s="23"/>
      <c r="H29" s="23"/>
      <c r="I29" s="23"/>
      <c r="J29" s="23"/>
      <c r="K29" s="23"/>
      <c r="L29" s="23"/>
      <c r="M29" s="24"/>
      <c r="N29" s="9"/>
      <c r="O29" s="2"/>
      <c r="P29" s="3"/>
      <c r="Q29" s="3"/>
      <c r="R29" s="3"/>
      <c r="S29" s="3"/>
      <c r="T29" s="3"/>
      <c r="U29" s="3"/>
      <c r="V29" s="3"/>
      <c r="W29" s="1"/>
      <c r="X29" s="3"/>
      <c r="Y29" s="3"/>
      <c r="Z29" s="3"/>
      <c r="AA29" s="3"/>
      <c r="AB29" s="3"/>
    </row>
    <row r="30" spans="2:28" ht="21" customHeight="1">
      <c r="B30" s="28"/>
      <c r="C30" s="20"/>
      <c r="D30" s="23"/>
      <c r="E30" s="23"/>
      <c r="F30" s="23"/>
      <c r="G30" s="23"/>
      <c r="H30" s="23"/>
      <c r="I30" s="23"/>
      <c r="J30" s="23"/>
      <c r="K30" s="23"/>
      <c r="L30" s="23"/>
      <c r="M30" s="24"/>
      <c r="N30" s="9"/>
      <c r="O30" s="2"/>
      <c r="P30" s="3"/>
      <c r="Q30" s="3"/>
      <c r="R30" s="3"/>
      <c r="S30" s="3"/>
      <c r="T30" s="3"/>
      <c r="U30" s="3"/>
      <c r="V30" s="3"/>
      <c r="W30" s="1"/>
      <c r="X30" s="3"/>
      <c r="Y30" s="3"/>
      <c r="Z30" s="3"/>
      <c r="AA30" s="3"/>
      <c r="AB30" s="3"/>
    </row>
    <row r="31" spans="2:28" ht="21" customHeight="1">
      <c r="B31" s="28"/>
      <c r="C31" s="20"/>
      <c r="D31" s="23"/>
      <c r="E31" s="23"/>
      <c r="F31" s="23"/>
      <c r="G31" s="23"/>
      <c r="H31" s="23"/>
      <c r="I31" s="23"/>
      <c r="J31" s="23"/>
      <c r="K31" s="23"/>
      <c r="L31" s="23"/>
      <c r="M31" s="24"/>
      <c r="N31" s="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2:28" ht="21" customHeight="1">
      <c r="B32" s="28"/>
      <c r="C32" s="20"/>
      <c r="D32" s="23"/>
      <c r="E32" s="23"/>
      <c r="F32" s="23"/>
      <c r="G32" s="23"/>
      <c r="H32" s="23"/>
      <c r="I32" s="23"/>
      <c r="J32" s="23"/>
      <c r="K32" s="23"/>
      <c r="L32" s="23"/>
      <c r="M32" s="24"/>
      <c r="N32" s="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2" ht="21" customHeight="1">
      <c r="B33" s="28"/>
      <c r="C33" s="20"/>
      <c r="D33" s="23"/>
      <c r="E33" s="23"/>
      <c r="F33" s="23"/>
      <c r="G33" s="23"/>
      <c r="H33" s="23"/>
      <c r="I33" s="23"/>
      <c r="J33" s="23"/>
      <c r="K33" s="23"/>
      <c r="L33" s="23"/>
      <c r="M33" s="24"/>
      <c r="N33" s="9"/>
      <c r="Q33" s="6"/>
      <c r="R33" s="6"/>
      <c r="S33" s="6"/>
      <c r="T33" s="6"/>
      <c r="U33" s="6"/>
      <c r="V33" s="6"/>
    </row>
    <row r="34" spans="1:22" ht="21" customHeight="1">
      <c r="B34" s="28"/>
      <c r="C34" s="20"/>
      <c r="D34" s="23"/>
      <c r="E34" s="35"/>
      <c r="F34" s="23"/>
      <c r="G34" s="23"/>
      <c r="H34" s="23"/>
      <c r="I34" s="23"/>
      <c r="J34" s="23"/>
      <c r="K34" s="23"/>
      <c r="L34" s="23"/>
      <c r="M34" s="24"/>
      <c r="N34" s="9"/>
      <c r="Q34" s="6"/>
      <c r="R34" s="6"/>
      <c r="S34" s="6"/>
      <c r="T34" s="6"/>
      <c r="U34" s="6"/>
      <c r="V34" s="6"/>
    </row>
    <row r="35" spans="1:22" ht="21" customHeight="1">
      <c r="B35" s="28"/>
      <c r="C35" s="20"/>
      <c r="D35" s="23"/>
      <c r="E35" s="23"/>
      <c r="F35" s="23"/>
      <c r="G35" s="23"/>
      <c r="H35" s="23"/>
      <c r="I35" s="23"/>
      <c r="J35" s="23"/>
      <c r="K35" s="23"/>
      <c r="L35" s="23"/>
      <c r="M35" s="24"/>
      <c r="N35" s="9"/>
    </row>
    <row r="36" spans="1:22" ht="21" customHeight="1" thickBot="1">
      <c r="B36" s="11"/>
      <c r="C36" s="12"/>
      <c r="D36" s="36"/>
      <c r="E36" s="36"/>
      <c r="F36" s="36"/>
      <c r="G36" s="36"/>
      <c r="H36" s="37"/>
      <c r="I36" s="37"/>
      <c r="J36" s="37"/>
      <c r="K36" s="37"/>
      <c r="L36" s="37"/>
      <c r="M36" s="14"/>
      <c r="N36" s="9"/>
    </row>
    <row r="37" spans="1:22" ht="21" customHeight="1">
      <c r="B37" s="8" t="s">
        <v>0</v>
      </c>
      <c r="C37" s="18"/>
      <c r="D37" s="38" t="s">
        <v>5</v>
      </c>
      <c r="E37" s="39"/>
      <c r="F37" s="39"/>
      <c r="G37" s="39"/>
      <c r="H37" s="134" t="s">
        <v>8</v>
      </c>
      <c r="I37" s="40"/>
      <c r="J37" s="41"/>
      <c r="K37" s="42"/>
      <c r="L37" s="42"/>
      <c r="M37" s="43"/>
      <c r="N37" s="9"/>
    </row>
    <row r="38" spans="1:22" ht="21" customHeight="1">
      <c r="B38" s="28"/>
      <c r="C38" s="19"/>
      <c r="D38" s="23"/>
      <c r="E38" s="23"/>
      <c r="F38" s="23"/>
      <c r="G38" s="23"/>
      <c r="H38" s="135"/>
      <c r="I38" s="44"/>
      <c r="J38" s="9"/>
      <c r="K38" s="45"/>
      <c r="L38" s="45"/>
      <c r="M38" s="46"/>
      <c r="N38" s="9"/>
    </row>
    <row r="39" spans="1:22" ht="21" customHeight="1">
      <c r="B39" s="28"/>
      <c r="C39" s="19"/>
      <c r="D39" s="23"/>
      <c r="E39" s="23"/>
      <c r="F39" s="23"/>
      <c r="G39" s="23"/>
      <c r="H39" s="135"/>
      <c r="I39" s="44"/>
      <c r="J39" s="9"/>
      <c r="K39" s="45"/>
      <c r="L39" s="45"/>
      <c r="M39" s="46"/>
      <c r="N39" s="9"/>
      <c r="Q39" s="6"/>
      <c r="R39" s="6"/>
      <c r="S39" s="6"/>
      <c r="T39" s="6"/>
      <c r="U39" s="6"/>
      <c r="V39" s="6"/>
    </row>
    <row r="40" spans="1:22" ht="21" customHeight="1" thickBot="1">
      <c r="B40" s="47"/>
      <c r="C40" s="48"/>
      <c r="D40" s="49"/>
      <c r="E40" s="49"/>
      <c r="F40" s="49"/>
      <c r="G40" s="49"/>
      <c r="H40" s="136"/>
      <c r="I40" s="50"/>
      <c r="J40" s="51"/>
      <c r="K40" s="52"/>
      <c r="L40" s="52"/>
      <c r="M40" s="53"/>
      <c r="N40" s="9"/>
      <c r="O40" s="1"/>
      <c r="P40" s="1"/>
    </row>
    <row r="41" spans="1:22" ht="15" thickBo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Q41" s="6"/>
      <c r="R41" s="6"/>
      <c r="S41" s="6"/>
      <c r="T41" s="6"/>
      <c r="U41" s="6"/>
      <c r="V41" s="6"/>
    </row>
    <row r="42" spans="1:22" ht="22.5" customHeight="1" thickBot="1">
      <c r="A42" s="54"/>
      <c r="B42" s="51"/>
      <c r="C42" s="51"/>
      <c r="D42" s="51"/>
      <c r="E42" s="51"/>
      <c r="F42" s="9"/>
      <c r="G42" s="9"/>
      <c r="H42" s="9"/>
      <c r="I42" s="64" t="str">
        <f>I1</f>
        <v>生産技術三課</v>
      </c>
      <c r="J42" s="73"/>
      <c r="K42" s="1"/>
      <c r="L42" s="64" t="str">
        <f>"2/"&amp;$O3</f>
        <v>2/3</v>
      </c>
      <c r="M42" s="63" t="s">
        <v>9</v>
      </c>
      <c r="Q42" s="6"/>
      <c r="R42" s="6"/>
      <c r="S42" s="6"/>
      <c r="T42" s="6"/>
      <c r="U42" s="6"/>
      <c r="V42" s="6"/>
    </row>
    <row r="43" spans="1:22" ht="20.25" customHeight="1">
      <c r="B43" s="118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119"/>
      <c r="Q43" s="6"/>
      <c r="R43" s="6"/>
      <c r="S43" s="6"/>
      <c r="T43" s="6"/>
      <c r="U43" s="6"/>
      <c r="V43" s="6"/>
    </row>
    <row r="44" spans="1:22" ht="20.25" customHeight="1">
      <c r="B44" s="28"/>
      <c r="C44" s="20"/>
      <c r="D44" s="23"/>
      <c r="E44" s="23"/>
      <c r="F44" s="23"/>
      <c r="G44" s="23"/>
      <c r="H44" s="23"/>
      <c r="I44" s="23"/>
      <c r="J44" s="23"/>
      <c r="K44" s="23"/>
      <c r="L44" s="23"/>
      <c r="M44" s="24"/>
      <c r="Q44" s="6"/>
      <c r="R44" s="6"/>
      <c r="S44" s="6"/>
      <c r="T44" s="6"/>
      <c r="U44" s="6"/>
      <c r="V44" s="6"/>
    </row>
    <row r="45" spans="1:22" ht="20.25" customHeight="1">
      <c r="B45" s="28"/>
      <c r="C45" s="20"/>
      <c r="D45" s="23"/>
      <c r="E45" s="23"/>
      <c r="F45" s="23"/>
      <c r="G45" s="23"/>
      <c r="H45" s="23"/>
      <c r="I45" s="23"/>
      <c r="J45" s="23"/>
      <c r="K45" s="23"/>
      <c r="L45" s="23"/>
      <c r="M45" s="24"/>
      <c r="Q45" s="6"/>
      <c r="R45" s="6"/>
      <c r="S45" s="6"/>
      <c r="T45" s="6"/>
      <c r="U45" s="6"/>
      <c r="V45" s="6"/>
    </row>
    <row r="46" spans="1:22" ht="20.25" customHeight="1">
      <c r="B46" s="28"/>
      <c r="C46" s="20"/>
      <c r="D46" s="23"/>
      <c r="E46" s="23"/>
      <c r="F46" s="23"/>
      <c r="G46" s="23"/>
      <c r="H46" s="23"/>
      <c r="I46" s="23"/>
      <c r="J46" s="23"/>
      <c r="K46" s="23"/>
      <c r="L46" s="23"/>
      <c r="M46" s="24"/>
      <c r="Q46" s="6"/>
      <c r="R46" s="6"/>
      <c r="S46" s="6"/>
      <c r="T46" s="6"/>
      <c r="U46" s="6"/>
      <c r="V46" s="6"/>
    </row>
    <row r="47" spans="1:22" ht="20.25" customHeight="1">
      <c r="B47" s="28"/>
      <c r="C47" s="20"/>
      <c r="D47" s="23"/>
      <c r="E47" s="23"/>
      <c r="F47" s="23"/>
      <c r="G47" s="23"/>
      <c r="H47" s="23"/>
      <c r="I47" s="23"/>
      <c r="J47" s="23"/>
      <c r="K47" s="23"/>
      <c r="L47" s="23"/>
      <c r="M47" s="24"/>
      <c r="Q47" s="6"/>
      <c r="R47" s="6"/>
      <c r="S47" s="6"/>
      <c r="T47" s="6"/>
      <c r="U47" s="6"/>
      <c r="V47" s="6"/>
    </row>
    <row r="48" spans="1:22" ht="20.25" customHeight="1">
      <c r="B48" s="28"/>
      <c r="C48" s="20"/>
      <c r="D48" s="23"/>
      <c r="E48" s="30"/>
      <c r="F48" s="23"/>
      <c r="G48" s="23"/>
      <c r="H48" s="23"/>
      <c r="I48" s="23"/>
      <c r="J48" s="23"/>
      <c r="K48" s="23"/>
      <c r="L48" s="23"/>
      <c r="M48" s="24"/>
      <c r="Q48" s="6"/>
      <c r="R48" s="6"/>
      <c r="S48" s="6"/>
      <c r="T48" s="6"/>
      <c r="U48" s="6"/>
      <c r="V48" s="6"/>
    </row>
    <row r="49" spans="2:22" ht="20.25" customHeight="1">
      <c r="B49" s="28"/>
      <c r="C49" s="20"/>
      <c r="D49" s="23"/>
      <c r="E49" s="23"/>
      <c r="F49" s="23"/>
      <c r="G49" s="23"/>
      <c r="H49" s="23"/>
      <c r="I49" s="23"/>
      <c r="J49" s="23"/>
      <c r="K49" s="23"/>
      <c r="L49" s="23"/>
      <c r="M49" s="24"/>
      <c r="Q49" s="6"/>
      <c r="R49" s="6"/>
      <c r="S49" s="6"/>
      <c r="T49" s="6"/>
      <c r="U49" s="6"/>
      <c r="V49" s="6"/>
    </row>
    <row r="50" spans="2:22" ht="20.25" customHeight="1">
      <c r="B50" s="28"/>
      <c r="C50" s="20"/>
      <c r="D50" s="23"/>
      <c r="E50" s="23"/>
      <c r="F50" s="23"/>
      <c r="G50" s="23"/>
      <c r="H50" s="23"/>
      <c r="I50" s="23"/>
      <c r="J50" s="23"/>
      <c r="K50" s="23"/>
      <c r="L50" s="23"/>
      <c r="M50" s="24"/>
      <c r="Q50" s="6"/>
      <c r="R50" s="6"/>
      <c r="S50" s="6"/>
      <c r="T50" s="6"/>
      <c r="U50" s="6"/>
      <c r="V50" s="6"/>
    </row>
    <row r="51" spans="2:22" ht="20.25" customHeight="1">
      <c r="B51" s="28"/>
      <c r="C51" s="20"/>
      <c r="D51" s="23"/>
      <c r="E51" s="23"/>
      <c r="F51" s="23"/>
      <c r="G51" s="23"/>
      <c r="H51" s="23"/>
      <c r="I51" s="23"/>
      <c r="J51" s="23"/>
      <c r="K51" s="23"/>
      <c r="L51" s="23"/>
      <c r="M51" s="24"/>
      <c r="Q51" s="6"/>
      <c r="R51" s="6"/>
      <c r="S51" s="6"/>
      <c r="T51" s="6"/>
      <c r="U51" s="6"/>
      <c r="V51" s="6"/>
    </row>
    <row r="52" spans="2:22" ht="20.25" customHeight="1">
      <c r="B52" s="28"/>
      <c r="C52" s="20"/>
      <c r="D52" s="23"/>
      <c r="E52" s="23"/>
      <c r="F52" s="23"/>
      <c r="G52" s="23"/>
      <c r="H52" s="23"/>
      <c r="I52" s="23"/>
      <c r="J52" s="23"/>
      <c r="K52" s="23"/>
      <c r="L52" s="23"/>
      <c r="M52" s="24"/>
      <c r="Q52" s="6"/>
      <c r="R52" s="6"/>
      <c r="S52" s="6"/>
      <c r="T52" s="6"/>
      <c r="U52" s="6"/>
      <c r="V52" s="6"/>
    </row>
    <row r="53" spans="2:22" ht="20.25" customHeight="1">
      <c r="B53" s="28"/>
      <c r="C53" s="20"/>
      <c r="D53" s="23"/>
      <c r="E53" s="23"/>
      <c r="F53" s="23"/>
      <c r="G53" s="23"/>
      <c r="H53" s="23"/>
      <c r="I53" s="23"/>
      <c r="J53" s="23"/>
      <c r="K53" s="23"/>
      <c r="L53" s="23"/>
      <c r="M53" s="24"/>
      <c r="Q53" s="6"/>
      <c r="R53" s="6"/>
      <c r="S53" s="6"/>
      <c r="T53" s="6"/>
      <c r="U53" s="6"/>
      <c r="V53" s="6"/>
    </row>
    <row r="54" spans="2:22" ht="20.25" customHeight="1">
      <c r="B54" s="28"/>
      <c r="C54" s="20"/>
      <c r="D54" s="23"/>
      <c r="E54" s="23"/>
      <c r="F54" s="23"/>
      <c r="G54" s="23"/>
      <c r="H54" s="23"/>
      <c r="I54" s="23"/>
      <c r="J54" s="23"/>
      <c r="K54" s="23"/>
      <c r="L54" s="23"/>
      <c r="M54" s="24"/>
      <c r="Q54" s="6"/>
      <c r="R54" s="6"/>
      <c r="S54" s="6"/>
      <c r="T54" s="6"/>
      <c r="U54" s="6"/>
      <c r="V54" s="6"/>
    </row>
    <row r="55" spans="2:22" ht="20.25" customHeight="1">
      <c r="B55" s="28"/>
      <c r="C55" s="20"/>
      <c r="D55" s="23"/>
      <c r="E55" s="23"/>
      <c r="F55" s="23"/>
      <c r="G55" s="23"/>
      <c r="H55" s="23"/>
      <c r="I55" s="23"/>
      <c r="J55" s="23"/>
      <c r="K55" s="23"/>
      <c r="L55" s="23"/>
      <c r="M55" s="24"/>
      <c r="Q55" s="6"/>
      <c r="R55" s="6"/>
      <c r="S55" s="6"/>
      <c r="T55" s="6"/>
      <c r="U55" s="6"/>
      <c r="V55" s="6"/>
    </row>
    <row r="56" spans="2:22" ht="20.25" customHeight="1">
      <c r="B56" s="28"/>
      <c r="C56" s="20"/>
      <c r="D56" s="23"/>
      <c r="E56" s="23"/>
      <c r="F56" s="23"/>
      <c r="G56" s="23"/>
      <c r="H56" s="23"/>
      <c r="I56" s="23"/>
      <c r="J56" s="23"/>
      <c r="K56" s="23"/>
      <c r="L56" s="23"/>
      <c r="M56" s="24"/>
      <c r="Q56" s="6"/>
      <c r="R56" s="6"/>
      <c r="S56" s="6"/>
      <c r="T56" s="6"/>
      <c r="U56" s="6"/>
      <c r="V56" s="6"/>
    </row>
    <row r="57" spans="2:22" ht="20.25" customHeight="1">
      <c r="B57" s="28"/>
      <c r="C57" s="20"/>
      <c r="D57" s="23"/>
      <c r="E57" s="23"/>
      <c r="F57" s="23"/>
      <c r="G57" s="23"/>
      <c r="H57" s="23"/>
      <c r="I57" s="23"/>
      <c r="J57" s="23"/>
      <c r="K57" s="23"/>
      <c r="L57" s="23"/>
      <c r="M57" s="24"/>
      <c r="Q57" s="6"/>
      <c r="R57" s="6"/>
      <c r="S57" s="6"/>
      <c r="T57" s="6"/>
      <c r="U57" s="6"/>
      <c r="V57" s="6"/>
    </row>
    <row r="58" spans="2:22" ht="20.25" customHeight="1">
      <c r="B58" s="28"/>
      <c r="C58" s="20"/>
      <c r="D58" s="23"/>
      <c r="E58" s="23"/>
      <c r="F58" s="23"/>
      <c r="G58" s="23"/>
      <c r="H58" s="23"/>
      <c r="I58" s="23"/>
      <c r="J58" s="23"/>
      <c r="K58" s="23"/>
      <c r="L58" s="23"/>
      <c r="M58" s="24"/>
      <c r="Q58" s="6"/>
      <c r="R58" s="6"/>
      <c r="S58" s="6"/>
      <c r="T58" s="6"/>
      <c r="U58" s="6"/>
      <c r="V58" s="6"/>
    </row>
    <row r="59" spans="2:22" ht="20.25" customHeight="1">
      <c r="B59" s="28"/>
      <c r="C59" s="20"/>
      <c r="D59" s="23"/>
      <c r="E59" s="23"/>
      <c r="F59" s="23"/>
      <c r="G59" s="23"/>
      <c r="H59" s="23"/>
      <c r="I59" s="23"/>
      <c r="J59" s="23"/>
      <c r="K59" s="23"/>
      <c r="L59" s="23"/>
      <c r="M59" s="24"/>
      <c r="Q59" s="6"/>
      <c r="R59" s="6"/>
      <c r="S59" s="6"/>
      <c r="T59" s="6"/>
      <c r="U59" s="6"/>
      <c r="V59" s="6"/>
    </row>
    <row r="60" spans="2:22" ht="20.25" customHeight="1">
      <c r="B60" s="28"/>
      <c r="C60" s="20"/>
      <c r="D60" s="23"/>
      <c r="E60" s="23"/>
      <c r="F60" s="23"/>
      <c r="G60" s="23"/>
      <c r="H60" s="23"/>
      <c r="I60" s="23"/>
      <c r="J60" s="23"/>
      <c r="K60" s="23"/>
      <c r="L60" s="23"/>
      <c r="M60" s="24"/>
      <c r="Q60" s="6"/>
      <c r="R60" s="6"/>
      <c r="S60" s="6"/>
      <c r="T60" s="6"/>
      <c r="U60" s="6"/>
      <c r="V60" s="6"/>
    </row>
    <row r="61" spans="2:22" ht="20.25" customHeight="1">
      <c r="B61" s="28"/>
      <c r="C61" s="20"/>
      <c r="D61" s="23"/>
      <c r="E61" s="23"/>
      <c r="F61" s="23"/>
      <c r="G61" s="23"/>
      <c r="H61" s="23"/>
      <c r="I61" s="23"/>
      <c r="J61" s="23"/>
      <c r="K61" s="23"/>
      <c r="L61" s="23"/>
      <c r="M61" s="24"/>
      <c r="Q61" s="6"/>
      <c r="R61" s="6"/>
      <c r="S61" s="6"/>
      <c r="T61" s="6"/>
      <c r="U61" s="6"/>
      <c r="V61" s="6"/>
    </row>
    <row r="62" spans="2:22" ht="20.25" customHeight="1">
      <c r="B62" s="28"/>
      <c r="C62" s="20"/>
      <c r="D62" s="23"/>
      <c r="E62" s="23"/>
      <c r="F62" s="23"/>
      <c r="G62" s="23"/>
      <c r="H62" s="23"/>
      <c r="I62" s="23"/>
      <c r="J62" s="23"/>
      <c r="K62" s="23"/>
      <c r="L62" s="23"/>
      <c r="M62" s="24"/>
      <c r="Q62" s="6"/>
      <c r="R62" s="6"/>
      <c r="S62" s="6"/>
      <c r="T62" s="6"/>
      <c r="U62" s="6"/>
      <c r="V62" s="6"/>
    </row>
    <row r="63" spans="2:22" ht="20.25" customHeight="1">
      <c r="B63" s="28"/>
      <c r="C63" s="20"/>
      <c r="D63" s="23"/>
      <c r="E63" s="23"/>
      <c r="F63" s="23"/>
      <c r="G63" s="23"/>
      <c r="H63" s="23"/>
      <c r="I63" s="23"/>
      <c r="J63" s="23"/>
      <c r="K63" s="23"/>
      <c r="L63" s="23"/>
      <c r="M63" s="24"/>
      <c r="Q63" s="6"/>
      <c r="R63" s="6"/>
      <c r="S63" s="6"/>
      <c r="T63" s="6"/>
      <c r="U63" s="6"/>
      <c r="V63" s="6"/>
    </row>
    <row r="64" spans="2:22" ht="20.25" customHeight="1">
      <c r="B64" s="28"/>
      <c r="C64" s="20"/>
      <c r="D64" s="23"/>
      <c r="E64" s="23"/>
      <c r="F64" s="23"/>
      <c r="G64" s="23"/>
      <c r="H64" s="23"/>
      <c r="I64" s="23"/>
      <c r="J64" s="23"/>
      <c r="K64" s="23"/>
      <c r="L64" s="23"/>
      <c r="M64" s="24"/>
      <c r="Q64" s="6"/>
      <c r="R64" s="6"/>
      <c r="S64" s="6"/>
      <c r="T64" s="6"/>
      <c r="U64" s="6"/>
      <c r="V64" s="6"/>
    </row>
    <row r="65" spans="2:22" ht="20.25" customHeight="1">
      <c r="B65" s="28"/>
      <c r="C65" s="20"/>
      <c r="D65" s="23"/>
      <c r="E65" s="23"/>
      <c r="F65" s="23"/>
      <c r="G65" s="23"/>
      <c r="H65" s="23"/>
      <c r="I65" s="23"/>
      <c r="J65" s="23"/>
      <c r="K65" s="23"/>
      <c r="L65" s="23"/>
      <c r="M65" s="24"/>
      <c r="Q65" s="6"/>
      <c r="R65" s="6"/>
      <c r="S65" s="6"/>
      <c r="T65" s="6"/>
      <c r="U65" s="6"/>
      <c r="V65" s="6"/>
    </row>
    <row r="66" spans="2:22" ht="20.25" customHeight="1">
      <c r="B66" s="28"/>
      <c r="C66" s="20"/>
      <c r="D66" s="23"/>
      <c r="E66" s="23"/>
      <c r="F66" s="23"/>
      <c r="G66" s="23"/>
      <c r="H66" s="23"/>
      <c r="I66" s="23"/>
      <c r="J66" s="23"/>
      <c r="K66" s="23"/>
      <c r="L66" s="23"/>
      <c r="M66" s="24"/>
      <c r="Q66" s="6"/>
      <c r="R66" s="6"/>
      <c r="S66" s="6"/>
      <c r="T66" s="6"/>
      <c r="U66" s="6"/>
      <c r="V66" s="6"/>
    </row>
    <row r="67" spans="2:22" ht="20.25" customHeight="1">
      <c r="B67" s="28"/>
      <c r="C67" s="20"/>
      <c r="D67" s="23"/>
      <c r="E67" s="23"/>
      <c r="F67" s="23"/>
      <c r="G67" s="23"/>
      <c r="H67" s="23"/>
      <c r="I67" s="23"/>
      <c r="J67" s="23"/>
      <c r="K67" s="23"/>
      <c r="L67" s="23"/>
      <c r="M67" s="24"/>
      <c r="Q67" s="6"/>
      <c r="R67" s="6"/>
      <c r="S67" s="6"/>
      <c r="T67" s="6"/>
      <c r="U67" s="6"/>
      <c r="V67" s="6"/>
    </row>
    <row r="68" spans="2:22" ht="20.25" customHeight="1">
      <c r="B68" s="28"/>
      <c r="C68" s="20"/>
      <c r="D68" s="23"/>
      <c r="E68" s="23"/>
      <c r="F68" s="23"/>
      <c r="G68" s="23"/>
      <c r="H68" s="23"/>
      <c r="I68" s="23"/>
      <c r="J68" s="23"/>
      <c r="K68" s="23"/>
      <c r="L68" s="23"/>
      <c r="M68" s="24"/>
      <c r="Q68" s="6"/>
      <c r="R68" s="6"/>
      <c r="S68" s="6"/>
      <c r="T68" s="6"/>
      <c r="U68" s="6"/>
      <c r="V68" s="6"/>
    </row>
    <row r="69" spans="2:22" ht="20.25" customHeight="1">
      <c r="B69" s="28"/>
      <c r="C69" s="20"/>
      <c r="D69" s="23"/>
      <c r="E69" s="23"/>
      <c r="F69" s="23"/>
      <c r="G69" s="23"/>
      <c r="H69" s="23"/>
      <c r="I69" s="23"/>
      <c r="J69" s="23"/>
      <c r="K69" s="23"/>
      <c r="L69" s="23"/>
      <c r="M69" s="24"/>
      <c r="Q69" s="6"/>
      <c r="R69" s="6"/>
      <c r="S69" s="6"/>
      <c r="T69" s="6"/>
      <c r="U69" s="6"/>
      <c r="V69" s="6"/>
    </row>
    <row r="70" spans="2:22" ht="20.25" customHeight="1">
      <c r="B70" s="28"/>
      <c r="C70" s="20"/>
      <c r="D70" s="23"/>
      <c r="E70" s="23"/>
      <c r="F70" s="23"/>
      <c r="G70" s="23"/>
      <c r="H70" s="23"/>
      <c r="I70" s="23"/>
      <c r="J70" s="23"/>
      <c r="K70" s="23"/>
      <c r="L70" s="23"/>
      <c r="M70" s="24"/>
      <c r="Q70" s="6"/>
      <c r="R70" s="6"/>
      <c r="S70" s="6"/>
      <c r="T70" s="6"/>
      <c r="U70" s="6"/>
      <c r="V70" s="6"/>
    </row>
    <row r="71" spans="2:22" ht="20.25" customHeight="1">
      <c r="B71" s="28"/>
      <c r="C71" s="20"/>
      <c r="D71" s="23"/>
      <c r="E71" s="23"/>
      <c r="F71" s="23"/>
      <c r="G71" s="23"/>
      <c r="H71" s="23"/>
      <c r="I71" s="23"/>
      <c r="J71" s="23"/>
      <c r="K71" s="23"/>
      <c r="L71" s="23"/>
      <c r="M71" s="24"/>
      <c r="Q71" s="6"/>
      <c r="R71" s="6"/>
      <c r="S71" s="6"/>
      <c r="T71" s="6"/>
      <c r="U71" s="6"/>
      <c r="V71" s="6"/>
    </row>
    <row r="72" spans="2:22" ht="20.25" customHeight="1">
      <c r="B72" s="28"/>
      <c r="C72" s="20"/>
      <c r="D72" s="23"/>
      <c r="E72" s="23"/>
      <c r="F72" s="23"/>
      <c r="G72" s="23"/>
      <c r="H72" s="23"/>
      <c r="I72" s="23"/>
      <c r="J72" s="23"/>
      <c r="K72" s="23"/>
      <c r="L72" s="23"/>
      <c r="M72" s="24"/>
      <c r="Q72" s="6"/>
      <c r="R72" s="6"/>
      <c r="S72" s="6"/>
      <c r="T72" s="6"/>
      <c r="U72" s="6"/>
      <c r="V72" s="6"/>
    </row>
    <row r="73" spans="2:22" ht="20.25" customHeight="1">
      <c r="B73" s="28"/>
      <c r="C73" s="20"/>
      <c r="D73" s="23"/>
      <c r="E73" s="23"/>
      <c r="F73" s="23"/>
      <c r="G73" s="23"/>
      <c r="H73" s="23"/>
      <c r="I73" s="23"/>
      <c r="J73" s="23"/>
      <c r="K73" s="23"/>
      <c r="L73" s="23"/>
      <c r="M73" s="24"/>
      <c r="Q73" s="6"/>
      <c r="R73" s="6"/>
      <c r="S73" s="6"/>
      <c r="T73" s="6"/>
      <c r="U73" s="6"/>
      <c r="V73" s="6"/>
    </row>
    <row r="74" spans="2:22" ht="20.25" customHeight="1">
      <c r="B74" s="28"/>
      <c r="C74" s="20"/>
      <c r="D74" s="23"/>
      <c r="E74" s="23"/>
      <c r="F74" s="23"/>
      <c r="G74" s="23"/>
      <c r="H74" s="23"/>
      <c r="I74" s="23"/>
      <c r="J74" s="23"/>
      <c r="K74" s="23"/>
      <c r="L74" s="23"/>
      <c r="M74" s="24"/>
      <c r="Q74" s="6"/>
      <c r="R74" s="6"/>
      <c r="S74" s="6"/>
      <c r="T74" s="6"/>
      <c r="U74" s="6"/>
      <c r="V74" s="6"/>
    </row>
    <row r="75" spans="2:22" ht="20.25" customHeight="1">
      <c r="B75" s="28"/>
      <c r="C75" s="20"/>
      <c r="D75" s="23"/>
      <c r="E75" s="23"/>
      <c r="F75" s="23"/>
      <c r="G75" s="23"/>
      <c r="H75" s="23"/>
      <c r="I75" s="23"/>
      <c r="J75" s="23"/>
      <c r="K75" s="23"/>
      <c r="L75" s="23"/>
      <c r="M75" s="24"/>
      <c r="Q75" s="6"/>
      <c r="R75" s="6"/>
      <c r="S75" s="6"/>
      <c r="T75" s="6"/>
      <c r="U75" s="6"/>
      <c r="V75" s="6"/>
    </row>
    <row r="76" spans="2:22" ht="20.25" customHeight="1">
      <c r="B76" s="28"/>
      <c r="C76" s="20"/>
      <c r="D76" s="23"/>
      <c r="E76" s="23"/>
      <c r="F76" s="23"/>
      <c r="G76" s="23"/>
      <c r="H76" s="23"/>
      <c r="I76" s="23"/>
      <c r="J76" s="23"/>
      <c r="K76" s="23"/>
      <c r="L76" s="23"/>
      <c r="M76" s="24"/>
      <c r="Q76" s="6"/>
      <c r="R76" s="6"/>
      <c r="S76" s="6"/>
      <c r="T76" s="6"/>
      <c r="U76" s="6"/>
      <c r="V76" s="6"/>
    </row>
    <row r="77" spans="2:22" ht="20.25" customHeight="1">
      <c r="B77" s="28"/>
      <c r="C77" s="20"/>
      <c r="D77" s="23"/>
      <c r="E77" s="23"/>
      <c r="F77" s="23"/>
      <c r="G77" s="23"/>
      <c r="H77" s="23"/>
      <c r="I77" s="23"/>
      <c r="J77" s="23"/>
      <c r="K77" s="23"/>
      <c r="L77" s="23"/>
      <c r="M77" s="24"/>
      <c r="Q77" s="6"/>
      <c r="R77" s="6"/>
      <c r="S77" s="6"/>
      <c r="T77" s="6"/>
      <c r="U77" s="6"/>
      <c r="V77" s="6"/>
    </row>
    <row r="78" spans="2:22" ht="20.25" customHeight="1">
      <c r="B78" s="28"/>
      <c r="C78" s="20"/>
      <c r="D78" s="23"/>
      <c r="E78" s="23"/>
      <c r="F78" s="23"/>
      <c r="G78" s="23"/>
      <c r="H78" s="23"/>
      <c r="I78" s="23"/>
      <c r="J78" s="23"/>
      <c r="K78" s="23"/>
      <c r="L78" s="23"/>
      <c r="M78" s="24"/>
      <c r="Q78" s="6"/>
      <c r="R78" s="6"/>
      <c r="S78" s="6"/>
      <c r="T78" s="6"/>
      <c r="U78" s="6"/>
      <c r="V78" s="6"/>
    </row>
    <row r="79" spans="2:22" ht="20.25" customHeight="1">
      <c r="B79" s="28"/>
      <c r="C79" s="20"/>
      <c r="D79" s="23"/>
      <c r="E79" s="23"/>
      <c r="F79" s="23"/>
      <c r="G79" s="23"/>
      <c r="H79" s="23"/>
      <c r="I79" s="23"/>
      <c r="J79" s="23"/>
      <c r="K79" s="23"/>
      <c r="L79" s="23"/>
      <c r="M79" s="24"/>
      <c r="Q79" s="6"/>
      <c r="R79" s="6"/>
      <c r="S79" s="6"/>
      <c r="T79" s="6"/>
      <c r="U79" s="6"/>
      <c r="V79" s="6"/>
    </row>
    <row r="80" spans="2:22" ht="20.25" customHeight="1">
      <c r="B80" s="28"/>
      <c r="C80" s="20"/>
      <c r="D80" s="23"/>
      <c r="E80" s="23"/>
      <c r="F80" s="23"/>
      <c r="G80" s="23"/>
      <c r="H80" s="23"/>
      <c r="I80" s="23"/>
      <c r="J80" s="23"/>
      <c r="K80" s="23"/>
      <c r="L80" s="23"/>
      <c r="M80" s="24"/>
      <c r="Q80" s="6"/>
      <c r="R80" s="6"/>
      <c r="S80" s="6"/>
      <c r="T80" s="6"/>
      <c r="U80" s="6"/>
      <c r="V80" s="6"/>
    </row>
    <row r="81" spans="2:22" ht="20.25" customHeight="1">
      <c r="B81" s="28"/>
      <c r="C81" s="20"/>
      <c r="D81" s="23"/>
      <c r="E81" s="23"/>
      <c r="F81" s="23"/>
      <c r="G81" s="23"/>
      <c r="H81" s="23"/>
      <c r="I81" s="23"/>
      <c r="J81" s="23"/>
      <c r="K81" s="23"/>
      <c r="L81" s="23"/>
      <c r="M81" s="24"/>
      <c r="Q81" s="6"/>
      <c r="R81" s="6"/>
      <c r="S81" s="6"/>
      <c r="T81" s="6"/>
      <c r="U81" s="6"/>
      <c r="V81" s="6"/>
    </row>
    <row r="82" spans="2:22" ht="20.25" customHeight="1">
      <c r="B82" s="28"/>
      <c r="C82" s="20"/>
      <c r="D82" s="23"/>
      <c r="E82" s="23"/>
      <c r="F82" s="23"/>
      <c r="G82" s="23"/>
      <c r="H82" s="23"/>
      <c r="I82" s="23"/>
      <c r="J82" s="23"/>
      <c r="K82" s="23"/>
      <c r="L82" s="23"/>
      <c r="M82" s="24"/>
      <c r="Q82" s="6"/>
      <c r="R82" s="6"/>
      <c r="S82" s="6"/>
      <c r="T82" s="6"/>
      <c r="U82" s="6"/>
      <c r="V82" s="6"/>
    </row>
    <row r="83" spans="2:22" ht="20.25" customHeight="1">
      <c r="B83" s="28"/>
      <c r="C83" s="20"/>
      <c r="D83" s="23"/>
      <c r="E83" s="23"/>
      <c r="F83" s="23"/>
      <c r="G83" s="23"/>
      <c r="H83" s="23"/>
      <c r="I83" s="23"/>
      <c r="J83" s="23"/>
      <c r="K83" s="23"/>
      <c r="L83" s="23"/>
      <c r="M83" s="24"/>
      <c r="Q83" s="6"/>
      <c r="R83" s="6"/>
      <c r="S83" s="6"/>
      <c r="T83" s="6"/>
      <c r="U83" s="6"/>
      <c r="V83" s="6"/>
    </row>
    <row r="84" spans="2:22" ht="20.25" customHeight="1">
      <c r="B84" s="28"/>
      <c r="C84" s="20"/>
      <c r="D84" s="23"/>
      <c r="E84" s="23"/>
      <c r="F84" s="23"/>
      <c r="G84" s="23"/>
      <c r="H84" s="23"/>
      <c r="I84" s="23"/>
      <c r="J84" s="23"/>
      <c r="K84" s="23"/>
      <c r="L84" s="23"/>
      <c r="M84" s="24"/>
      <c r="Q84" s="6"/>
      <c r="R84" s="6"/>
      <c r="S84" s="6"/>
      <c r="T84" s="6"/>
      <c r="U84" s="6"/>
      <c r="V84" s="6"/>
    </row>
    <row r="85" spans="2:22" ht="20.25" customHeight="1" thickBot="1">
      <c r="B85" s="47"/>
      <c r="C85" s="17"/>
      <c r="D85" s="80"/>
      <c r="E85" s="49"/>
      <c r="F85" s="49"/>
      <c r="G85" s="49"/>
      <c r="H85" s="49"/>
      <c r="I85" s="49"/>
      <c r="J85" s="49"/>
      <c r="K85" s="49"/>
      <c r="L85" s="49"/>
      <c r="M85" s="72"/>
      <c r="Q85" s="6"/>
      <c r="R85" s="6"/>
      <c r="S85" s="6"/>
      <c r="T85" s="6"/>
      <c r="U85" s="6"/>
      <c r="V85" s="6"/>
    </row>
    <row r="86" spans="2:22" ht="15" customHeight="1" thickBot="1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spans="2:22" ht="22.5" customHeight="1" thickBot="1">
      <c r="B87" s="51"/>
      <c r="C87" s="51"/>
      <c r="D87" s="51"/>
      <c r="E87" s="51"/>
      <c r="F87" s="9"/>
      <c r="G87" s="9"/>
      <c r="H87" s="9"/>
      <c r="I87" s="64" t="str">
        <f>I1</f>
        <v>生産技術三課</v>
      </c>
      <c r="J87" s="73"/>
      <c r="K87" s="1"/>
      <c r="L87" s="64" t="str">
        <f>"3/"&amp;$O3</f>
        <v>3/3</v>
      </c>
      <c r="M87" s="63" t="s">
        <v>9</v>
      </c>
    </row>
    <row r="88" spans="2:22" ht="20.25" customHeight="1">
      <c r="B88" s="118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119"/>
    </row>
    <row r="89" spans="2:22" ht="20.25" customHeight="1">
      <c r="B89" s="28"/>
      <c r="C89" s="20"/>
      <c r="D89" s="23"/>
      <c r="E89" s="23"/>
      <c r="F89" s="23"/>
      <c r="G89" s="23"/>
      <c r="H89" s="23"/>
      <c r="I89" s="23"/>
      <c r="J89" s="23"/>
      <c r="K89" s="23"/>
      <c r="L89" s="23"/>
      <c r="M89" s="24"/>
    </row>
    <row r="90" spans="2:22" ht="20.25" customHeight="1">
      <c r="B90" s="28"/>
      <c r="C90" s="20"/>
      <c r="D90" s="23"/>
      <c r="E90" s="23"/>
      <c r="F90" s="23"/>
      <c r="G90" s="23"/>
      <c r="H90" s="23"/>
      <c r="I90" s="23"/>
      <c r="J90" s="23"/>
      <c r="K90" s="23"/>
      <c r="L90" s="23"/>
      <c r="M90" s="24"/>
    </row>
    <row r="91" spans="2:22" ht="20.25" customHeight="1">
      <c r="B91" s="28"/>
      <c r="C91" s="20"/>
      <c r="D91" s="23"/>
      <c r="E91" s="23"/>
      <c r="F91" s="23"/>
      <c r="G91" s="23"/>
      <c r="H91" s="23"/>
      <c r="I91" s="23"/>
      <c r="J91" s="23"/>
      <c r="K91" s="23"/>
      <c r="L91" s="23"/>
      <c r="M91" s="24"/>
    </row>
    <row r="92" spans="2:22" ht="20.25" customHeight="1">
      <c r="B92" s="28"/>
      <c r="C92" s="20"/>
      <c r="D92" s="23"/>
      <c r="E92" s="23"/>
      <c r="F92" s="23"/>
      <c r="G92" s="23"/>
      <c r="H92" s="23"/>
      <c r="I92" s="23"/>
      <c r="J92" s="23"/>
      <c r="K92" s="23"/>
      <c r="L92" s="23"/>
      <c r="M92" s="24"/>
    </row>
    <row r="93" spans="2:22" ht="20.25" customHeight="1">
      <c r="B93" s="28"/>
      <c r="C93" s="20"/>
      <c r="D93" s="23"/>
      <c r="E93" s="30"/>
      <c r="F93" s="23"/>
      <c r="G93" s="23"/>
      <c r="H93" s="23"/>
      <c r="I93" s="23"/>
      <c r="J93" s="23"/>
      <c r="K93" s="23"/>
      <c r="L93" s="23"/>
      <c r="M93" s="24"/>
    </row>
    <row r="94" spans="2:22" ht="20.25" customHeight="1">
      <c r="B94" s="28"/>
      <c r="C94" s="20"/>
      <c r="D94" s="23"/>
      <c r="E94" s="23"/>
      <c r="F94" s="23"/>
      <c r="G94" s="23"/>
      <c r="H94" s="23"/>
      <c r="I94" s="23"/>
      <c r="J94" s="23"/>
      <c r="K94" s="23"/>
      <c r="L94" s="23"/>
      <c r="M94" s="24"/>
    </row>
    <row r="95" spans="2:22" ht="20.25" customHeight="1">
      <c r="B95" s="28"/>
      <c r="C95" s="20"/>
      <c r="D95" s="23"/>
      <c r="E95" s="23"/>
      <c r="F95" s="23"/>
      <c r="G95" s="23"/>
      <c r="H95" s="23"/>
      <c r="I95" s="23"/>
      <c r="J95" s="23"/>
      <c r="K95" s="23"/>
      <c r="L95" s="23"/>
      <c r="M95" s="24"/>
    </row>
    <row r="96" spans="2:22" ht="20.25" customHeight="1">
      <c r="B96" s="28"/>
      <c r="C96" s="20"/>
      <c r="D96" s="23"/>
      <c r="E96" s="23"/>
      <c r="F96" s="23"/>
      <c r="G96" s="23"/>
      <c r="H96" s="23"/>
      <c r="I96" s="23"/>
      <c r="J96" s="23"/>
      <c r="K96" s="23"/>
      <c r="L96" s="23"/>
      <c r="M96" s="24"/>
    </row>
    <row r="97" spans="2:13" ht="20.25" customHeight="1">
      <c r="B97" s="28"/>
      <c r="C97" s="20"/>
      <c r="D97" s="23"/>
      <c r="E97" s="23"/>
      <c r="F97" s="23"/>
      <c r="G97" s="23"/>
      <c r="H97" s="23"/>
      <c r="I97" s="23"/>
      <c r="J97" s="23"/>
      <c r="K97" s="23"/>
      <c r="L97" s="23"/>
      <c r="M97" s="24"/>
    </row>
    <row r="98" spans="2:13" ht="20.25" customHeight="1">
      <c r="B98" s="28"/>
      <c r="C98" s="20"/>
      <c r="D98" s="23"/>
      <c r="E98" s="23"/>
      <c r="F98" s="23"/>
      <c r="G98" s="23"/>
      <c r="H98" s="23"/>
      <c r="I98" s="23"/>
      <c r="J98" s="23"/>
      <c r="K98" s="23"/>
      <c r="L98" s="23"/>
      <c r="M98" s="24"/>
    </row>
    <row r="99" spans="2:13" ht="20.25" customHeight="1">
      <c r="B99" s="28"/>
      <c r="C99" s="20"/>
      <c r="D99" s="23"/>
      <c r="E99" s="23"/>
      <c r="F99" s="23"/>
      <c r="G99" s="23"/>
      <c r="H99" s="23"/>
      <c r="I99" s="23"/>
      <c r="J99" s="23"/>
      <c r="K99" s="23"/>
      <c r="L99" s="23"/>
      <c r="M99" s="24"/>
    </row>
    <row r="100" spans="2:13" ht="20.25" customHeight="1">
      <c r="B100" s="28"/>
      <c r="C100" s="20"/>
      <c r="D100" s="23"/>
      <c r="E100" s="23"/>
      <c r="F100" s="23"/>
      <c r="G100" s="23"/>
      <c r="H100" s="23"/>
      <c r="I100" s="23"/>
      <c r="J100" s="23"/>
      <c r="K100" s="23"/>
      <c r="L100" s="23"/>
      <c r="M100" s="24"/>
    </row>
    <row r="101" spans="2:13" ht="20.25" customHeight="1">
      <c r="B101" s="28"/>
      <c r="C101" s="20"/>
      <c r="D101" s="23"/>
      <c r="E101" s="23"/>
      <c r="F101" s="23"/>
      <c r="G101" s="23"/>
      <c r="H101" s="23"/>
      <c r="I101" s="23"/>
      <c r="J101" s="23"/>
      <c r="K101" s="23"/>
      <c r="L101" s="23"/>
      <c r="M101" s="24"/>
    </row>
    <row r="102" spans="2:13" ht="20.25" customHeight="1">
      <c r="B102" s="28"/>
      <c r="C102" s="20"/>
      <c r="D102" s="23"/>
      <c r="E102" s="23"/>
      <c r="F102" s="23"/>
      <c r="G102" s="23"/>
      <c r="H102" s="23"/>
      <c r="I102" s="23"/>
      <c r="J102" s="23"/>
      <c r="K102" s="23"/>
      <c r="L102" s="23"/>
      <c r="M102" s="24"/>
    </row>
    <row r="103" spans="2:13" ht="20.25" customHeight="1">
      <c r="B103" s="28"/>
      <c r="C103" s="20"/>
      <c r="D103" s="23"/>
      <c r="E103" s="23"/>
      <c r="F103" s="23"/>
      <c r="G103" s="23"/>
      <c r="H103" s="23"/>
      <c r="I103" s="23"/>
      <c r="J103" s="23"/>
      <c r="K103" s="23"/>
      <c r="L103" s="23"/>
      <c r="M103" s="24"/>
    </row>
    <row r="104" spans="2:13" ht="20.25" customHeight="1">
      <c r="B104" s="28"/>
      <c r="C104" s="20"/>
      <c r="D104" s="23"/>
      <c r="E104" s="23"/>
      <c r="F104" s="23"/>
      <c r="G104" s="23"/>
      <c r="H104" s="23"/>
      <c r="I104" s="23"/>
      <c r="J104" s="23"/>
      <c r="K104" s="23"/>
      <c r="L104" s="23"/>
      <c r="M104" s="24"/>
    </row>
    <row r="105" spans="2:13" ht="20.25" customHeight="1">
      <c r="B105" s="28"/>
      <c r="C105" s="20"/>
      <c r="D105" s="23"/>
      <c r="E105" s="23"/>
      <c r="F105" s="23"/>
      <c r="G105" s="23"/>
      <c r="H105" s="23"/>
      <c r="I105" s="23"/>
      <c r="J105" s="23"/>
      <c r="K105" s="23"/>
      <c r="L105" s="23"/>
      <c r="M105" s="24"/>
    </row>
    <row r="106" spans="2:13" ht="20.25" customHeight="1">
      <c r="B106" s="28"/>
      <c r="C106" s="20"/>
      <c r="D106" s="23"/>
      <c r="E106" s="23"/>
      <c r="F106" s="23"/>
      <c r="G106" s="23"/>
      <c r="H106" s="23"/>
      <c r="I106" s="23"/>
      <c r="J106" s="23"/>
      <c r="K106" s="23"/>
      <c r="L106" s="23"/>
      <c r="M106" s="24"/>
    </row>
    <row r="107" spans="2:13" ht="20.25" customHeight="1">
      <c r="B107" s="28"/>
      <c r="C107" s="20"/>
      <c r="D107" s="23"/>
      <c r="E107" s="23"/>
      <c r="F107" s="23"/>
      <c r="G107" s="23"/>
      <c r="H107" s="23"/>
      <c r="I107" s="23"/>
      <c r="J107" s="23"/>
      <c r="K107" s="23"/>
      <c r="L107" s="23"/>
      <c r="M107" s="24"/>
    </row>
    <row r="108" spans="2:13" ht="20.25" customHeight="1">
      <c r="B108" s="28"/>
      <c r="C108" s="20"/>
      <c r="D108" s="23"/>
      <c r="E108" s="23"/>
      <c r="F108" s="23"/>
      <c r="G108" s="23"/>
      <c r="H108" s="23"/>
      <c r="I108" s="23"/>
      <c r="J108" s="23"/>
      <c r="K108" s="23"/>
      <c r="L108" s="23"/>
      <c r="M108" s="24"/>
    </row>
    <row r="109" spans="2:13" ht="20.25" customHeight="1">
      <c r="B109" s="28"/>
      <c r="C109" s="20"/>
      <c r="D109" s="23"/>
      <c r="E109" s="23"/>
      <c r="F109" s="23"/>
      <c r="G109" s="23"/>
      <c r="H109" s="23"/>
      <c r="I109" s="23"/>
      <c r="J109" s="23"/>
      <c r="K109" s="23"/>
      <c r="L109" s="23"/>
      <c r="M109" s="24"/>
    </row>
    <row r="110" spans="2:13" ht="20.25" customHeight="1">
      <c r="B110" s="28"/>
      <c r="C110" s="20"/>
      <c r="D110" s="23"/>
      <c r="E110" s="23"/>
      <c r="F110" s="23"/>
      <c r="G110" s="23"/>
      <c r="H110" s="23"/>
      <c r="I110" s="23"/>
      <c r="J110" s="23"/>
      <c r="K110" s="23"/>
      <c r="L110" s="23"/>
      <c r="M110" s="24"/>
    </row>
    <row r="111" spans="2:13" ht="20.25" customHeight="1">
      <c r="B111" s="28"/>
      <c r="C111" s="20"/>
      <c r="D111" s="23"/>
      <c r="E111" s="23"/>
      <c r="F111" s="23"/>
      <c r="G111" s="23"/>
      <c r="H111" s="23"/>
      <c r="I111" s="23"/>
      <c r="J111" s="23"/>
      <c r="K111" s="23"/>
      <c r="L111" s="23"/>
      <c r="M111" s="24"/>
    </row>
    <row r="112" spans="2:13" ht="20.25" customHeight="1">
      <c r="B112" s="28"/>
      <c r="C112" s="20"/>
      <c r="D112" s="23"/>
      <c r="E112" s="23"/>
      <c r="F112" s="23"/>
      <c r="G112" s="23"/>
      <c r="H112" s="23"/>
      <c r="I112" s="23"/>
      <c r="J112" s="23"/>
      <c r="K112" s="23"/>
      <c r="L112" s="23"/>
      <c r="M112" s="24"/>
    </row>
    <row r="113" spans="2:13" ht="20.25" customHeight="1">
      <c r="B113" s="28"/>
      <c r="C113" s="20"/>
      <c r="D113" s="23"/>
      <c r="E113" s="23"/>
      <c r="F113" s="23"/>
      <c r="G113" s="23"/>
      <c r="H113" s="23"/>
      <c r="I113" s="23"/>
      <c r="J113" s="23"/>
      <c r="K113" s="23"/>
      <c r="L113" s="23"/>
      <c r="M113" s="24"/>
    </row>
    <row r="114" spans="2:13" ht="20.25" customHeight="1">
      <c r="B114" s="28"/>
      <c r="C114" s="20"/>
      <c r="D114" s="23"/>
      <c r="E114" s="23"/>
      <c r="F114" s="23"/>
      <c r="G114" s="23"/>
      <c r="H114" s="23"/>
      <c r="I114" s="23"/>
      <c r="J114" s="23"/>
      <c r="K114" s="23"/>
      <c r="L114" s="23"/>
      <c r="M114" s="24"/>
    </row>
    <row r="115" spans="2:13" ht="20.25" customHeight="1">
      <c r="B115" s="28"/>
      <c r="C115" s="20"/>
      <c r="D115" s="23"/>
      <c r="E115" s="23"/>
      <c r="F115" s="23"/>
      <c r="G115" s="23"/>
      <c r="H115" s="23"/>
      <c r="I115" s="23"/>
      <c r="J115" s="23"/>
      <c r="K115" s="23"/>
      <c r="L115" s="23"/>
      <c r="M115" s="24"/>
    </row>
    <row r="116" spans="2:13" ht="20.25" customHeight="1">
      <c r="B116" s="28"/>
      <c r="C116" s="20"/>
      <c r="D116" s="23"/>
      <c r="E116" s="23"/>
      <c r="F116" s="23"/>
      <c r="G116" s="23"/>
      <c r="H116" s="23"/>
      <c r="I116" s="23"/>
      <c r="J116" s="23"/>
      <c r="K116" s="23"/>
      <c r="L116" s="23"/>
      <c r="M116" s="24"/>
    </row>
    <row r="117" spans="2:13" ht="20.25" customHeight="1">
      <c r="B117" s="28"/>
      <c r="C117" s="20"/>
      <c r="D117" s="23"/>
      <c r="E117" s="23"/>
      <c r="F117" s="23"/>
      <c r="G117" s="23"/>
      <c r="H117" s="23"/>
      <c r="I117" s="23"/>
      <c r="J117" s="23"/>
      <c r="K117" s="23"/>
      <c r="L117" s="23"/>
      <c r="M117" s="24"/>
    </row>
    <row r="118" spans="2:13" ht="20.25" customHeight="1">
      <c r="B118" s="28"/>
      <c r="C118" s="20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 spans="2:13" ht="20.25" customHeight="1">
      <c r="B119" s="28"/>
      <c r="C119" s="20"/>
      <c r="D119" s="23"/>
      <c r="E119" s="23"/>
      <c r="F119" s="23"/>
      <c r="G119" s="23"/>
      <c r="H119" s="23"/>
      <c r="I119" s="23"/>
      <c r="J119" s="23"/>
      <c r="K119" s="23"/>
      <c r="L119" s="23"/>
      <c r="M119" s="24"/>
    </row>
    <row r="120" spans="2:13" ht="20.25" customHeight="1">
      <c r="B120" s="28"/>
      <c r="C120" s="20"/>
      <c r="D120" s="23"/>
      <c r="E120" s="23"/>
      <c r="F120" s="23"/>
      <c r="G120" s="23"/>
      <c r="H120" s="23"/>
      <c r="I120" s="23"/>
      <c r="J120" s="23"/>
      <c r="K120" s="23"/>
      <c r="L120" s="23"/>
      <c r="M120" s="24"/>
    </row>
    <row r="121" spans="2:13" ht="20.25" customHeight="1">
      <c r="B121" s="28"/>
      <c r="C121" s="20"/>
      <c r="D121" s="23"/>
      <c r="E121" s="23"/>
      <c r="F121" s="23"/>
      <c r="G121" s="23"/>
      <c r="H121" s="23"/>
      <c r="I121" s="23"/>
      <c r="J121" s="23"/>
      <c r="K121" s="23"/>
      <c r="L121" s="23"/>
      <c r="M121" s="24"/>
    </row>
    <row r="122" spans="2:13" ht="20.25" customHeight="1">
      <c r="B122" s="28"/>
      <c r="C122" s="20"/>
      <c r="D122" s="23"/>
      <c r="E122" s="23"/>
      <c r="F122" s="23"/>
      <c r="G122" s="23"/>
      <c r="H122" s="23"/>
      <c r="I122" s="23"/>
      <c r="J122" s="23"/>
      <c r="K122" s="23"/>
      <c r="L122" s="23"/>
      <c r="M122" s="24"/>
    </row>
    <row r="123" spans="2:13" ht="20.25" customHeight="1">
      <c r="B123" s="28"/>
      <c r="C123" s="20"/>
      <c r="D123" s="23"/>
      <c r="E123" s="23"/>
      <c r="F123" s="23"/>
      <c r="G123" s="23"/>
      <c r="H123" s="23"/>
      <c r="I123" s="23"/>
      <c r="J123" s="23"/>
      <c r="K123" s="23"/>
      <c r="L123" s="23"/>
      <c r="M123" s="24"/>
    </row>
    <row r="124" spans="2:13" ht="20.25" customHeight="1">
      <c r="B124" s="28"/>
      <c r="C124" s="20"/>
      <c r="D124" s="23"/>
      <c r="E124" s="23"/>
      <c r="F124" s="23"/>
      <c r="G124" s="23"/>
      <c r="H124" s="23"/>
      <c r="I124" s="23"/>
      <c r="J124" s="23"/>
      <c r="K124" s="23"/>
      <c r="L124" s="23"/>
      <c r="M124" s="24"/>
    </row>
    <row r="125" spans="2:13" ht="20.25" customHeight="1">
      <c r="B125" s="28"/>
      <c r="C125" s="20"/>
      <c r="D125" s="23"/>
      <c r="E125" s="23"/>
      <c r="F125" s="23"/>
      <c r="G125" s="23"/>
      <c r="H125" s="23"/>
      <c r="I125" s="23"/>
      <c r="J125" s="23"/>
      <c r="K125" s="23"/>
      <c r="L125" s="23"/>
      <c r="M125" s="24"/>
    </row>
    <row r="126" spans="2:13" ht="20.25" customHeight="1">
      <c r="B126" s="28"/>
      <c r="C126" s="20"/>
      <c r="D126" s="23"/>
      <c r="E126" s="23"/>
      <c r="F126" s="23"/>
      <c r="G126" s="23"/>
      <c r="H126" s="23"/>
      <c r="I126" s="23"/>
      <c r="J126" s="23"/>
      <c r="K126" s="23"/>
      <c r="L126" s="23"/>
      <c r="M126" s="24"/>
    </row>
    <row r="127" spans="2:13" ht="20.25" customHeight="1">
      <c r="B127" s="28"/>
      <c r="C127" s="20"/>
      <c r="D127" s="23"/>
      <c r="E127" s="23"/>
      <c r="F127" s="23"/>
      <c r="G127" s="23"/>
      <c r="H127" s="23"/>
      <c r="I127" s="23"/>
      <c r="J127" s="23"/>
      <c r="K127" s="23"/>
      <c r="L127" s="23"/>
      <c r="M127" s="24"/>
    </row>
    <row r="128" spans="2:13" ht="20.25" customHeight="1">
      <c r="B128" s="28"/>
      <c r="C128" s="20"/>
      <c r="D128" s="23"/>
      <c r="E128" s="23"/>
      <c r="F128" s="23"/>
      <c r="G128" s="23"/>
      <c r="H128" s="23"/>
      <c r="I128" s="23"/>
      <c r="J128" s="23"/>
      <c r="K128" s="23"/>
      <c r="L128" s="23"/>
      <c r="M128" s="24"/>
    </row>
    <row r="129" spans="2:13" ht="20.25" customHeight="1">
      <c r="B129" s="28"/>
      <c r="C129" s="20"/>
      <c r="D129" s="23"/>
      <c r="E129" s="23"/>
      <c r="F129" s="23"/>
      <c r="G129" s="23"/>
      <c r="H129" s="23"/>
      <c r="I129" s="23"/>
      <c r="J129" s="23"/>
      <c r="K129" s="23"/>
      <c r="L129" s="23"/>
      <c r="M129" s="24"/>
    </row>
    <row r="130" spans="2:13" ht="20.25" customHeight="1" thickBot="1">
      <c r="B130" s="47"/>
      <c r="C130" s="17"/>
      <c r="D130" s="80"/>
      <c r="E130" s="49"/>
      <c r="F130" s="49"/>
      <c r="G130" s="49"/>
      <c r="H130" s="49"/>
      <c r="I130" s="49"/>
      <c r="J130" s="49"/>
      <c r="K130" s="49"/>
      <c r="L130" s="49"/>
      <c r="M130" s="72"/>
    </row>
    <row r="131" spans="2:13" ht="15" thickBot="1"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spans="2:13" ht="22.5" customHeight="1" thickBot="1">
      <c r="B132" s="51"/>
      <c r="C132" s="51"/>
      <c r="D132" s="51"/>
      <c r="E132" s="51"/>
      <c r="F132" s="9"/>
      <c r="G132" s="9"/>
      <c r="H132" s="9"/>
      <c r="I132" s="64" t="str">
        <f>I1</f>
        <v>生産技術三課</v>
      </c>
      <c r="J132" s="73"/>
      <c r="K132" s="1"/>
      <c r="L132" s="64" t="str">
        <f>"4/"&amp;$O3</f>
        <v>4/3</v>
      </c>
      <c r="M132" s="63" t="s">
        <v>9</v>
      </c>
    </row>
    <row r="133" spans="2:13" ht="20.25" customHeight="1">
      <c r="B133" s="118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119"/>
    </row>
    <row r="134" spans="2:13" ht="20.25" customHeight="1">
      <c r="B134" s="28"/>
      <c r="C134" s="20"/>
      <c r="D134" s="23"/>
      <c r="E134" s="23"/>
      <c r="F134" s="23"/>
      <c r="G134" s="23"/>
      <c r="H134" s="23"/>
      <c r="I134" s="23"/>
      <c r="J134" s="23"/>
      <c r="K134" s="23"/>
      <c r="L134" s="23"/>
      <c r="M134" s="24"/>
    </row>
    <row r="135" spans="2:13" ht="20.25" customHeight="1">
      <c r="B135" s="28"/>
      <c r="C135" s="20"/>
      <c r="D135" s="23"/>
      <c r="E135" s="23"/>
      <c r="F135" s="23"/>
      <c r="G135" s="23"/>
      <c r="H135" s="23"/>
      <c r="I135" s="23"/>
      <c r="J135" s="23"/>
      <c r="K135" s="23"/>
      <c r="L135" s="23"/>
      <c r="M135" s="24"/>
    </row>
    <row r="136" spans="2:13" ht="20.25" customHeight="1">
      <c r="B136" s="28"/>
      <c r="C136" s="20"/>
      <c r="D136" s="23"/>
      <c r="E136" s="23"/>
      <c r="F136" s="23"/>
      <c r="G136" s="23"/>
      <c r="H136" s="23"/>
      <c r="I136" s="23"/>
      <c r="J136" s="23"/>
      <c r="K136" s="23"/>
      <c r="L136" s="23"/>
      <c r="M136" s="24"/>
    </row>
    <row r="137" spans="2:13" ht="20.25" customHeight="1">
      <c r="B137" s="28"/>
      <c r="C137" s="20"/>
      <c r="D137" s="23"/>
      <c r="E137" s="23"/>
      <c r="F137" s="23"/>
      <c r="G137" s="23"/>
      <c r="H137" s="23"/>
      <c r="I137" s="23"/>
      <c r="J137" s="23"/>
      <c r="K137" s="23"/>
      <c r="L137" s="23"/>
      <c r="M137" s="24"/>
    </row>
    <row r="138" spans="2:13" ht="20.25" customHeight="1">
      <c r="B138" s="28"/>
      <c r="C138" s="20"/>
      <c r="D138" s="23"/>
      <c r="E138" s="30"/>
      <c r="F138" s="23"/>
      <c r="G138" s="23"/>
      <c r="H138" s="23"/>
      <c r="I138" s="23"/>
      <c r="J138" s="23"/>
      <c r="K138" s="23"/>
      <c r="L138" s="23"/>
      <c r="M138" s="24"/>
    </row>
    <row r="139" spans="2:13" ht="20.25" customHeight="1">
      <c r="B139" s="28"/>
      <c r="C139" s="20"/>
      <c r="D139" s="23"/>
      <c r="E139" s="23"/>
      <c r="F139" s="23"/>
      <c r="G139" s="23"/>
      <c r="H139" s="23"/>
      <c r="I139" s="23"/>
      <c r="J139" s="23"/>
      <c r="K139" s="23"/>
      <c r="L139" s="23"/>
      <c r="M139" s="24"/>
    </row>
    <row r="140" spans="2:13" ht="20.25" customHeight="1">
      <c r="B140" s="28"/>
      <c r="C140" s="20"/>
      <c r="D140" s="23"/>
      <c r="E140" s="23"/>
      <c r="F140" s="23"/>
      <c r="G140" s="23"/>
      <c r="H140" s="23"/>
      <c r="I140" s="23"/>
      <c r="J140" s="23"/>
      <c r="K140" s="23"/>
      <c r="L140" s="23"/>
      <c r="M140" s="24"/>
    </row>
    <row r="141" spans="2:13" ht="20.25" customHeight="1">
      <c r="B141" s="28"/>
      <c r="C141" s="20"/>
      <c r="D141" s="23"/>
      <c r="E141" s="23"/>
      <c r="F141" s="23"/>
      <c r="G141" s="23"/>
      <c r="H141" s="23"/>
      <c r="I141" s="23"/>
      <c r="J141" s="23"/>
      <c r="K141" s="23"/>
      <c r="L141" s="23"/>
      <c r="M141" s="24"/>
    </row>
    <row r="142" spans="2:13" ht="20.25" customHeight="1">
      <c r="B142" s="28"/>
      <c r="C142" s="20"/>
      <c r="D142" s="23"/>
      <c r="E142" s="23"/>
      <c r="F142" s="23"/>
      <c r="G142" s="23"/>
      <c r="H142" s="23"/>
      <c r="I142" s="23"/>
      <c r="J142" s="23"/>
      <c r="K142" s="23"/>
      <c r="L142" s="23"/>
      <c r="M142" s="24"/>
    </row>
    <row r="143" spans="2:13" ht="20.25" customHeight="1">
      <c r="B143" s="28"/>
      <c r="C143" s="20"/>
      <c r="D143" s="23"/>
      <c r="E143" s="23"/>
      <c r="F143" s="23"/>
      <c r="G143" s="23"/>
      <c r="H143" s="23"/>
      <c r="I143" s="23"/>
      <c r="J143" s="23"/>
      <c r="K143" s="23"/>
      <c r="L143" s="23"/>
      <c r="M143" s="24"/>
    </row>
    <row r="144" spans="2:13" ht="20.25" customHeight="1">
      <c r="B144" s="28"/>
      <c r="C144" s="20"/>
      <c r="D144" s="23"/>
      <c r="E144" s="23"/>
      <c r="F144" s="23"/>
      <c r="G144" s="23"/>
      <c r="H144" s="23"/>
      <c r="I144" s="23"/>
      <c r="J144" s="23"/>
      <c r="K144" s="23"/>
      <c r="L144" s="23"/>
      <c r="M144" s="24"/>
    </row>
    <row r="145" spans="2:13" ht="20.25" customHeight="1">
      <c r="B145" s="28"/>
      <c r="C145" s="20"/>
      <c r="D145" s="23"/>
      <c r="E145" s="23"/>
      <c r="F145" s="23"/>
      <c r="G145" s="23"/>
      <c r="H145" s="23"/>
      <c r="I145" s="23"/>
      <c r="J145" s="23"/>
      <c r="K145" s="23"/>
      <c r="L145" s="23"/>
      <c r="M145" s="24"/>
    </row>
    <row r="146" spans="2:13" ht="20.25" customHeight="1">
      <c r="B146" s="28"/>
      <c r="C146" s="20"/>
      <c r="D146" s="23"/>
      <c r="E146" s="23"/>
      <c r="F146" s="23"/>
      <c r="G146" s="23"/>
      <c r="H146" s="23"/>
      <c r="I146" s="23"/>
      <c r="J146" s="23"/>
      <c r="K146" s="23"/>
      <c r="L146" s="23"/>
      <c r="M146" s="24"/>
    </row>
    <row r="147" spans="2:13" ht="20.25" customHeight="1">
      <c r="B147" s="28"/>
      <c r="C147" s="20"/>
      <c r="D147" s="23"/>
      <c r="E147" s="23"/>
      <c r="F147" s="23"/>
      <c r="G147" s="23"/>
      <c r="H147" s="23"/>
      <c r="I147" s="23"/>
      <c r="J147" s="23"/>
      <c r="K147" s="23"/>
      <c r="L147" s="23"/>
      <c r="M147" s="24"/>
    </row>
    <row r="148" spans="2:13" ht="20.25" customHeight="1">
      <c r="B148" s="28"/>
      <c r="C148" s="20"/>
      <c r="D148" s="23"/>
      <c r="E148" s="23"/>
      <c r="F148" s="23"/>
      <c r="G148" s="23"/>
      <c r="H148" s="23"/>
      <c r="I148" s="23"/>
      <c r="J148" s="23"/>
      <c r="K148" s="23"/>
      <c r="L148" s="23"/>
      <c r="M148" s="24"/>
    </row>
    <row r="149" spans="2:13" ht="20.25" customHeight="1">
      <c r="B149" s="28"/>
      <c r="C149" s="20"/>
      <c r="D149" s="23"/>
      <c r="E149" s="23"/>
      <c r="F149" s="23"/>
      <c r="G149" s="23"/>
      <c r="H149" s="23"/>
      <c r="I149" s="23"/>
      <c r="J149" s="23"/>
      <c r="K149" s="23"/>
      <c r="L149" s="23"/>
      <c r="M149" s="24"/>
    </row>
    <row r="150" spans="2:13" ht="20.25" customHeight="1">
      <c r="B150" s="28"/>
      <c r="C150" s="20"/>
      <c r="D150" s="23"/>
      <c r="E150" s="23"/>
      <c r="F150" s="23"/>
      <c r="G150" s="23"/>
      <c r="H150" s="23"/>
      <c r="I150" s="23"/>
      <c r="J150" s="23"/>
      <c r="K150" s="23"/>
      <c r="L150" s="23"/>
      <c r="M150" s="24"/>
    </row>
    <row r="151" spans="2:13" ht="20.25" customHeight="1">
      <c r="B151" s="28"/>
      <c r="C151" s="20"/>
      <c r="D151" s="23"/>
      <c r="E151" s="23"/>
      <c r="F151" s="23"/>
      <c r="G151" s="23"/>
      <c r="H151" s="23"/>
      <c r="I151" s="23"/>
      <c r="J151" s="23"/>
      <c r="K151" s="23"/>
      <c r="L151" s="23"/>
      <c r="M151" s="24"/>
    </row>
    <row r="152" spans="2:13" ht="20.25" customHeight="1">
      <c r="B152" s="28"/>
      <c r="C152" s="20"/>
      <c r="D152" s="23"/>
      <c r="E152" s="23"/>
      <c r="F152" s="23"/>
      <c r="G152" s="23"/>
      <c r="H152" s="23"/>
      <c r="I152" s="23"/>
      <c r="J152" s="23"/>
      <c r="K152" s="23"/>
      <c r="L152" s="23"/>
      <c r="M152" s="24"/>
    </row>
    <row r="153" spans="2:13" ht="20.25" customHeight="1">
      <c r="B153" s="28"/>
      <c r="C153" s="20"/>
      <c r="D153" s="23"/>
      <c r="E153" s="23"/>
      <c r="F153" s="23"/>
      <c r="G153" s="23"/>
      <c r="H153" s="23"/>
      <c r="I153" s="23"/>
      <c r="J153" s="23"/>
      <c r="K153" s="23"/>
      <c r="L153" s="23"/>
      <c r="M153" s="24"/>
    </row>
    <row r="154" spans="2:13" ht="20.25" customHeight="1">
      <c r="B154" s="28"/>
      <c r="C154" s="20"/>
      <c r="D154" s="23"/>
      <c r="E154" s="23"/>
      <c r="F154" s="23"/>
      <c r="G154" s="23"/>
      <c r="H154" s="23"/>
      <c r="I154" s="23"/>
      <c r="J154" s="23"/>
      <c r="K154" s="23"/>
      <c r="L154" s="23"/>
      <c r="M154" s="24"/>
    </row>
    <row r="155" spans="2:13" ht="20.25" customHeight="1">
      <c r="B155" s="28"/>
      <c r="C155" s="20"/>
      <c r="D155" s="23"/>
      <c r="E155" s="23"/>
      <c r="F155" s="23"/>
      <c r="G155" s="23"/>
      <c r="H155" s="23"/>
      <c r="I155" s="23"/>
      <c r="J155" s="23"/>
      <c r="K155" s="23"/>
      <c r="L155" s="23"/>
      <c r="M155" s="24"/>
    </row>
    <row r="156" spans="2:13" ht="20.25" customHeight="1">
      <c r="B156" s="28"/>
      <c r="C156" s="20"/>
      <c r="D156" s="23"/>
      <c r="E156" s="23"/>
      <c r="F156" s="23"/>
      <c r="G156" s="23"/>
      <c r="H156" s="23"/>
      <c r="I156" s="23"/>
      <c r="J156" s="23"/>
      <c r="K156" s="23"/>
      <c r="L156" s="23"/>
      <c r="M156" s="24"/>
    </row>
    <row r="157" spans="2:13" ht="20.25" customHeight="1">
      <c r="B157" s="28"/>
      <c r="C157" s="20"/>
      <c r="D157" s="23"/>
      <c r="E157" s="23"/>
      <c r="F157" s="23"/>
      <c r="G157" s="23"/>
      <c r="H157" s="23"/>
      <c r="I157" s="23"/>
      <c r="J157" s="23"/>
      <c r="K157" s="23"/>
      <c r="L157" s="23"/>
      <c r="M157" s="24"/>
    </row>
    <row r="158" spans="2:13" ht="20.25" customHeight="1">
      <c r="B158" s="28"/>
      <c r="C158" s="20"/>
      <c r="D158" s="23"/>
      <c r="E158" s="23"/>
      <c r="F158" s="23"/>
      <c r="G158" s="23"/>
      <c r="H158" s="23"/>
      <c r="I158" s="23"/>
      <c r="J158" s="23"/>
      <c r="K158" s="23"/>
      <c r="L158" s="23"/>
      <c r="M158" s="24"/>
    </row>
    <row r="159" spans="2:13" ht="20.25" customHeight="1">
      <c r="B159" s="28"/>
      <c r="C159" s="20"/>
      <c r="D159" s="23"/>
      <c r="E159" s="23"/>
      <c r="F159" s="23"/>
      <c r="G159" s="23"/>
      <c r="H159" s="23"/>
      <c r="I159" s="23"/>
      <c r="J159" s="23"/>
      <c r="K159" s="23"/>
      <c r="L159" s="23"/>
      <c r="M159" s="24"/>
    </row>
    <row r="160" spans="2:13" ht="20.25" customHeight="1">
      <c r="B160" s="28"/>
      <c r="C160" s="20"/>
      <c r="D160" s="23"/>
      <c r="E160" s="23"/>
      <c r="F160" s="23"/>
      <c r="G160" s="23"/>
      <c r="H160" s="23"/>
      <c r="I160" s="23"/>
      <c r="J160" s="23"/>
      <c r="K160" s="23"/>
      <c r="L160" s="23"/>
      <c r="M160" s="24"/>
    </row>
    <row r="161" spans="2:13" ht="20.25" customHeight="1">
      <c r="B161" s="28"/>
      <c r="C161" s="20"/>
      <c r="D161" s="23"/>
      <c r="E161" s="23"/>
      <c r="F161" s="23"/>
      <c r="G161" s="23"/>
      <c r="H161" s="23"/>
      <c r="I161" s="23"/>
      <c r="J161" s="23"/>
      <c r="K161" s="23"/>
      <c r="L161" s="23"/>
      <c r="M161" s="24"/>
    </row>
    <row r="162" spans="2:13" ht="20.25" customHeight="1">
      <c r="B162" s="28"/>
      <c r="C162" s="20"/>
      <c r="D162" s="23"/>
      <c r="E162" s="23"/>
      <c r="F162" s="23"/>
      <c r="G162" s="23"/>
      <c r="H162" s="23"/>
      <c r="I162" s="23"/>
      <c r="J162" s="23"/>
      <c r="K162" s="23"/>
      <c r="L162" s="23"/>
      <c r="M162" s="24"/>
    </row>
    <row r="163" spans="2:13" ht="20.25" customHeight="1">
      <c r="B163" s="28"/>
      <c r="C163" s="20"/>
      <c r="D163" s="23"/>
      <c r="E163" s="23"/>
      <c r="F163" s="23"/>
      <c r="G163" s="23"/>
      <c r="H163" s="23"/>
      <c r="I163" s="23"/>
      <c r="J163" s="23"/>
      <c r="K163" s="23"/>
      <c r="L163" s="23"/>
      <c r="M163" s="24"/>
    </row>
    <row r="164" spans="2:13" ht="20.25" customHeight="1">
      <c r="B164" s="28"/>
      <c r="C164" s="20"/>
      <c r="D164" s="23"/>
      <c r="E164" s="23"/>
      <c r="F164" s="23"/>
      <c r="G164" s="23"/>
      <c r="H164" s="23"/>
      <c r="I164" s="23"/>
      <c r="J164" s="23"/>
      <c r="K164" s="23"/>
      <c r="L164" s="23"/>
      <c r="M164" s="24"/>
    </row>
    <row r="165" spans="2:13" ht="20.25" customHeight="1">
      <c r="B165" s="28"/>
      <c r="C165" s="20"/>
      <c r="D165" s="23"/>
      <c r="E165" s="23"/>
      <c r="F165" s="23"/>
      <c r="G165" s="23"/>
      <c r="H165" s="23"/>
      <c r="I165" s="23"/>
      <c r="J165" s="23"/>
      <c r="K165" s="23"/>
      <c r="L165" s="23"/>
      <c r="M165" s="24"/>
    </row>
    <row r="166" spans="2:13" ht="20.25" customHeight="1">
      <c r="B166" s="28"/>
      <c r="C166" s="20"/>
      <c r="D166" s="23"/>
      <c r="E166" s="23"/>
      <c r="F166" s="23"/>
      <c r="G166" s="23"/>
      <c r="H166" s="23"/>
      <c r="I166" s="23"/>
      <c r="J166" s="23"/>
      <c r="K166" s="23"/>
      <c r="L166" s="23"/>
      <c r="M166" s="24"/>
    </row>
    <row r="167" spans="2:13" ht="20.25" customHeight="1">
      <c r="B167" s="28"/>
      <c r="C167" s="20"/>
      <c r="D167" s="23"/>
      <c r="E167" s="23"/>
      <c r="F167" s="23"/>
      <c r="G167" s="23"/>
      <c r="H167" s="23"/>
      <c r="I167" s="23"/>
      <c r="J167" s="23"/>
      <c r="K167" s="23"/>
      <c r="L167" s="23"/>
      <c r="M167" s="24"/>
    </row>
    <row r="168" spans="2:13" ht="20.25" customHeight="1">
      <c r="B168" s="28"/>
      <c r="C168" s="20"/>
      <c r="D168" s="23"/>
      <c r="E168" s="23"/>
      <c r="F168" s="23"/>
      <c r="G168" s="23"/>
      <c r="H168" s="23"/>
      <c r="I168" s="23"/>
      <c r="J168" s="23"/>
      <c r="K168" s="23"/>
      <c r="L168" s="23"/>
      <c r="M168" s="24"/>
    </row>
    <row r="169" spans="2:13" ht="20.25" customHeight="1">
      <c r="B169" s="28"/>
      <c r="C169" s="20"/>
      <c r="D169" s="23"/>
      <c r="E169" s="23"/>
      <c r="F169" s="23"/>
      <c r="G169" s="23"/>
      <c r="H169" s="23"/>
      <c r="I169" s="23"/>
      <c r="J169" s="23"/>
      <c r="K169" s="23"/>
      <c r="L169" s="23"/>
      <c r="M169" s="24"/>
    </row>
    <row r="170" spans="2:13" ht="20.25" customHeight="1">
      <c r="B170" s="28"/>
      <c r="C170" s="20"/>
      <c r="D170" s="23"/>
      <c r="E170" s="23"/>
      <c r="F170" s="23"/>
      <c r="G170" s="23"/>
      <c r="H170" s="23"/>
      <c r="I170" s="23"/>
      <c r="J170" s="23"/>
      <c r="K170" s="23"/>
      <c r="L170" s="23"/>
      <c r="M170" s="24"/>
    </row>
    <row r="171" spans="2:13" ht="20.25" customHeight="1">
      <c r="B171" s="28"/>
      <c r="C171" s="20"/>
      <c r="D171" s="23"/>
      <c r="E171" s="23"/>
      <c r="F171" s="23"/>
      <c r="G171" s="23"/>
      <c r="H171" s="23"/>
      <c r="I171" s="23"/>
      <c r="J171" s="23"/>
      <c r="K171" s="23"/>
      <c r="L171" s="23"/>
      <c r="M171" s="24"/>
    </row>
    <row r="172" spans="2:13" ht="20.25" customHeight="1">
      <c r="B172" s="28"/>
      <c r="C172" s="20"/>
      <c r="D172" s="23"/>
      <c r="E172" s="23"/>
      <c r="F172" s="23"/>
      <c r="G172" s="23"/>
      <c r="H172" s="23"/>
      <c r="I172" s="23"/>
      <c r="J172" s="23"/>
      <c r="K172" s="23"/>
      <c r="L172" s="23"/>
      <c r="M172" s="24"/>
    </row>
    <row r="173" spans="2:13" ht="20.25" customHeight="1">
      <c r="B173" s="28"/>
      <c r="C173" s="20"/>
      <c r="D173" s="23"/>
      <c r="E173" s="23"/>
      <c r="F173" s="23"/>
      <c r="G173" s="23"/>
      <c r="H173" s="23"/>
      <c r="I173" s="23"/>
      <c r="J173" s="23"/>
      <c r="K173" s="23"/>
      <c r="L173" s="23"/>
      <c r="M173" s="24"/>
    </row>
    <row r="174" spans="2:13" ht="20.25" customHeight="1">
      <c r="B174" s="28"/>
      <c r="C174" s="20"/>
      <c r="D174" s="23"/>
      <c r="E174" s="23"/>
      <c r="F174" s="23"/>
      <c r="G174" s="23"/>
      <c r="H174" s="23"/>
      <c r="I174" s="23"/>
      <c r="J174" s="23"/>
      <c r="K174" s="23"/>
      <c r="L174" s="23"/>
      <c r="M174" s="24"/>
    </row>
    <row r="175" spans="2:13" ht="20.25" customHeight="1" thickBot="1">
      <c r="B175" s="47"/>
      <c r="C175" s="17"/>
      <c r="D175" s="80"/>
      <c r="E175" s="49"/>
      <c r="F175" s="49"/>
      <c r="G175" s="49"/>
      <c r="H175" s="49"/>
      <c r="I175" s="49"/>
      <c r="J175" s="49"/>
      <c r="K175" s="49"/>
      <c r="L175" s="49"/>
      <c r="M175" s="72"/>
    </row>
    <row r="176" spans="2:13" ht="15" thickBot="1"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</row>
    <row r="177" spans="2:13" ht="22.5" customHeight="1" thickBot="1">
      <c r="B177" s="51"/>
      <c r="C177" s="51"/>
      <c r="D177" s="51"/>
      <c r="E177" s="51"/>
      <c r="F177" s="9"/>
      <c r="G177" s="9"/>
      <c r="H177" s="9"/>
      <c r="I177" s="64" t="str">
        <f>I1</f>
        <v>生産技術三課</v>
      </c>
      <c r="J177" s="73"/>
      <c r="K177" s="1"/>
      <c r="L177" s="64" t="str">
        <f>"5/"&amp;$O3</f>
        <v>5/3</v>
      </c>
      <c r="M177" s="63" t="s">
        <v>9</v>
      </c>
    </row>
    <row r="178" spans="2:13" ht="20.25" customHeight="1">
      <c r="B178" s="118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119"/>
    </row>
    <row r="179" spans="2:13" ht="20.25" customHeight="1">
      <c r="B179" s="28"/>
      <c r="C179" s="20"/>
      <c r="D179" s="23"/>
      <c r="E179" s="23"/>
      <c r="F179" s="23"/>
      <c r="G179" s="23"/>
      <c r="H179" s="23"/>
      <c r="I179" s="23"/>
      <c r="J179" s="23"/>
      <c r="K179" s="23"/>
      <c r="L179" s="23"/>
      <c r="M179" s="24"/>
    </row>
    <row r="180" spans="2:13" ht="20.25" customHeight="1">
      <c r="B180" s="28"/>
      <c r="C180" s="20"/>
      <c r="D180" s="23"/>
      <c r="E180" s="23"/>
      <c r="F180" s="23"/>
      <c r="G180" s="23"/>
      <c r="H180" s="23"/>
      <c r="I180" s="23"/>
      <c r="J180" s="23"/>
      <c r="K180" s="23"/>
      <c r="L180" s="23"/>
      <c r="M180" s="24"/>
    </row>
    <row r="181" spans="2:13" ht="20.25" customHeight="1">
      <c r="B181" s="28"/>
      <c r="C181" s="20"/>
      <c r="D181" s="23"/>
      <c r="E181" s="23"/>
      <c r="F181" s="23"/>
      <c r="G181" s="23"/>
      <c r="H181" s="23"/>
      <c r="I181" s="23"/>
      <c r="J181" s="23"/>
      <c r="K181" s="23"/>
      <c r="L181" s="23"/>
      <c r="M181" s="24"/>
    </row>
    <row r="182" spans="2:13" ht="20.25" customHeight="1">
      <c r="B182" s="28"/>
      <c r="C182" s="20"/>
      <c r="D182" s="23"/>
      <c r="E182" s="23"/>
      <c r="F182" s="23"/>
      <c r="G182" s="23"/>
      <c r="H182" s="23"/>
      <c r="I182" s="23"/>
      <c r="J182" s="23"/>
      <c r="K182" s="23"/>
      <c r="L182" s="23"/>
      <c r="M182" s="24"/>
    </row>
    <row r="183" spans="2:13" ht="20.25" customHeight="1">
      <c r="B183" s="28"/>
      <c r="C183" s="20"/>
      <c r="D183" s="23"/>
      <c r="E183" s="30"/>
      <c r="F183" s="23"/>
      <c r="G183" s="23"/>
      <c r="H183" s="23"/>
      <c r="I183" s="23"/>
      <c r="J183" s="23"/>
      <c r="K183" s="23"/>
      <c r="L183" s="23"/>
      <c r="M183" s="24"/>
    </row>
    <row r="184" spans="2:13" ht="20.25" customHeight="1">
      <c r="B184" s="28"/>
      <c r="C184" s="20"/>
      <c r="D184" s="23"/>
      <c r="E184" s="23"/>
      <c r="F184" s="23"/>
      <c r="G184" s="23"/>
      <c r="H184" s="23"/>
      <c r="I184" s="23"/>
      <c r="J184" s="23"/>
      <c r="K184" s="23"/>
      <c r="L184" s="23"/>
      <c r="M184" s="24"/>
    </row>
    <row r="185" spans="2:13" ht="20.25" customHeight="1">
      <c r="B185" s="28"/>
      <c r="C185" s="20"/>
      <c r="D185" s="23"/>
      <c r="E185" s="23"/>
      <c r="F185" s="23"/>
      <c r="G185" s="23"/>
      <c r="H185" s="23"/>
      <c r="I185" s="23"/>
      <c r="J185" s="23"/>
      <c r="K185" s="23"/>
      <c r="L185" s="23"/>
      <c r="M185" s="24"/>
    </row>
    <row r="186" spans="2:13" ht="20.25" customHeight="1">
      <c r="B186" s="28"/>
      <c r="C186" s="20"/>
      <c r="D186" s="23"/>
      <c r="E186" s="23"/>
      <c r="F186" s="23"/>
      <c r="G186" s="23"/>
      <c r="H186" s="23"/>
      <c r="I186" s="23"/>
      <c r="J186" s="23"/>
      <c r="K186" s="23"/>
      <c r="L186" s="23"/>
      <c r="M186" s="24"/>
    </row>
    <row r="187" spans="2:13" ht="20.25" customHeight="1">
      <c r="B187" s="28"/>
      <c r="C187" s="20"/>
      <c r="D187" s="23"/>
      <c r="E187" s="23"/>
      <c r="F187" s="23"/>
      <c r="G187" s="23"/>
      <c r="H187" s="23"/>
      <c r="I187" s="23"/>
      <c r="J187" s="23"/>
      <c r="K187" s="23"/>
      <c r="L187" s="23"/>
      <c r="M187" s="24"/>
    </row>
    <row r="188" spans="2:13" ht="20.25" customHeight="1">
      <c r="B188" s="28"/>
      <c r="C188" s="20"/>
      <c r="D188" s="23"/>
      <c r="E188" s="23"/>
      <c r="F188" s="23"/>
      <c r="G188" s="23"/>
      <c r="H188" s="23"/>
      <c r="I188" s="23"/>
      <c r="J188" s="23"/>
      <c r="K188" s="23"/>
      <c r="L188" s="23"/>
      <c r="M188" s="24"/>
    </row>
    <row r="189" spans="2:13" ht="20.25" customHeight="1">
      <c r="B189" s="28"/>
      <c r="C189" s="20"/>
      <c r="D189" s="23"/>
      <c r="E189" s="23"/>
      <c r="F189" s="23"/>
      <c r="G189" s="23"/>
      <c r="H189" s="23"/>
      <c r="I189" s="23"/>
      <c r="J189" s="23"/>
      <c r="K189" s="23"/>
      <c r="L189" s="23"/>
      <c r="M189" s="24"/>
    </row>
    <row r="190" spans="2:13" ht="20.25" customHeight="1">
      <c r="B190" s="28"/>
      <c r="C190" s="20"/>
      <c r="D190" s="23"/>
      <c r="E190" s="23"/>
      <c r="F190" s="23"/>
      <c r="G190" s="23"/>
      <c r="H190" s="23"/>
      <c r="I190" s="23"/>
      <c r="J190" s="23"/>
      <c r="K190" s="23"/>
      <c r="L190" s="23"/>
      <c r="M190" s="24"/>
    </row>
    <row r="191" spans="2:13" ht="20.25" customHeight="1">
      <c r="B191" s="28"/>
      <c r="C191" s="20"/>
      <c r="D191" s="23"/>
      <c r="E191" s="23"/>
      <c r="F191" s="23"/>
      <c r="G191" s="23"/>
      <c r="H191" s="23"/>
      <c r="I191" s="23"/>
      <c r="J191" s="23"/>
      <c r="K191" s="23"/>
      <c r="L191" s="23"/>
      <c r="M191" s="24"/>
    </row>
    <row r="192" spans="2:13" ht="20.25" customHeight="1">
      <c r="B192" s="28"/>
      <c r="C192" s="20"/>
      <c r="D192" s="23"/>
      <c r="E192" s="23"/>
      <c r="F192" s="23"/>
      <c r="G192" s="23"/>
      <c r="H192" s="23"/>
      <c r="I192" s="23"/>
      <c r="J192" s="23"/>
      <c r="K192" s="23"/>
      <c r="L192" s="23"/>
      <c r="M192" s="24"/>
    </row>
    <row r="193" spans="2:13" ht="20.25" customHeight="1">
      <c r="B193" s="28"/>
      <c r="C193" s="20"/>
      <c r="D193" s="23"/>
      <c r="E193" s="23"/>
      <c r="F193" s="23"/>
      <c r="G193" s="23"/>
      <c r="H193" s="23"/>
      <c r="I193" s="23"/>
      <c r="J193" s="23"/>
      <c r="K193" s="23"/>
      <c r="L193" s="23"/>
      <c r="M193" s="24"/>
    </row>
    <row r="194" spans="2:13" ht="20.25" customHeight="1">
      <c r="B194" s="28"/>
      <c r="C194" s="20"/>
      <c r="D194" s="23"/>
      <c r="E194" s="23"/>
      <c r="F194" s="23"/>
      <c r="G194" s="23"/>
      <c r="H194" s="23"/>
      <c r="I194" s="23"/>
      <c r="J194" s="23"/>
      <c r="K194" s="23"/>
      <c r="L194" s="23"/>
      <c r="M194" s="24"/>
    </row>
    <row r="195" spans="2:13" ht="20.25" customHeight="1">
      <c r="B195" s="28"/>
      <c r="C195" s="20"/>
      <c r="D195" s="23"/>
      <c r="E195" s="23"/>
      <c r="F195" s="23"/>
      <c r="G195" s="23"/>
      <c r="H195" s="23"/>
      <c r="I195" s="23"/>
      <c r="J195" s="23"/>
      <c r="K195" s="23"/>
      <c r="L195" s="23"/>
      <c r="M195" s="24"/>
    </row>
    <row r="196" spans="2:13" ht="20.25" customHeight="1">
      <c r="B196" s="28"/>
      <c r="C196" s="20"/>
      <c r="D196" s="23"/>
      <c r="E196" s="23"/>
      <c r="F196" s="23"/>
      <c r="G196" s="23"/>
      <c r="H196" s="23"/>
      <c r="I196" s="23"/>
      <c r="J196" s="23"/>
      <c r="K196" s="23"/>
      <c r="L196" s="23"/>
      <c r="M196" s="24"/>
    </row>
    <row r="197" spans="2:13" ht="20.25" customHeight="1">
      <c r="B197" s="28"/>
      <c r="C197" s="20"/>
      <c r="D197" s="23"/>
      <c r="E197" s="23"/>
      <c r="F197" s="23"/>
      <c r="G197" s="23"/>
      <c r="H197" s="23"/>
      <c r="I197" s="23"/>
      <c r="J197" s="23"/>
      <c r="K197" s="23"/>
      <c r="L197" s="23"/>
      <c r="M197" s="24"/>
    </row>
    <row r="198" spans="2:13" ht="20.25" customHeight="1">
      <c r="B198" s="28"/>
      <c r="C198" s="20"/>
      <c r="D198" s="23"/>
      <c r="E198" s="23"/>
      <c r="F198" s="23"/>
      <c r="G198" s="23"/>
      <c r="H198" s="23"/>
      <c r="I198" s="23"/>
      <c r="J198" s="23"/>
      <c r="K198" s="23"/>
      <c r="L198" s="23"/>
      <c r="M198" s="24"/>
    </row>
    <row r="199" spans="2:13" ht="20.25" customHeight="1">
      <c r="B199" s="28"/>
      <c r="C199" s="20"/>
      <c r="D199" s="23"/>
      <c r="E199" s="23"/>
      <c r="F199" s="23"/>
      <c r="G199" s="23"/>
      <c r="H199" s="23"/>
      <c r="I199" s="23"/>
      <c r="J199" s="23"/>
      <c r="K199" s="23"/>
      <c r="L199" s="23"/>
      <c r="M199" s="24"/>
    </row>
    <row r="200" spans="2:13" ht="20.25" customHeight="1">
      <c r="B200" s="28"/>
      <c r="C200" s="20"/>
      <c r="D200" s="23"/>
      <c r="E200" s="23"/>
      <c r="F200" s="23"/>
      <c r="G200" s="23"/>
      <c r="H200" s="23"/>
      <c r="I200" s="23"/>
      <c r="J200" s="23"/>
      <c r="K200" s="23"/>
      <c r="L200" s="23"/>
      <c r="M200" s="24"/>
    </row>
    <row r="201" spans="2:13" ht="20.25" customHeight="1">
      <c r="B201" s="28"/>
      <c r="C201" s="20"/>
      <c r="D201" s="23"/>
      <c r="E201" s="23"/>
      <c r="F201" s="23"/>
      <c r="G201" s="23"/>
      <c r="H201" s="23"/>
      <c r="I201" s="23"/>
      <c r="J201" s="23"/>
      <c r="K201" s="23"/>
      <c r="L201" s="23"/>
      <c r="M201" s="24"/>
    </row>
    <row r="202" spans="2:13" ht="20.25" customHeight="1">
      <c r="B202" s="28"/>
      <c r="C202" s="20"/>
      <c r="D202" s="23"/>
      <c r="E202" s="23"/>
      <c r="F202" s="23"/>
      <c r="G202" s="23"/>
      <c r="H202" s="23"/>
      <c r="I202" s="23"/>
      <c r="J202" s="23"/>
      <c r="K202" s="23"/>
      <c r="L202" s="23"/>
      <c r="M202" s="24"/>
    </row>
    <row r="203" spans="2:13" ht="20.25" customHeight="1">
      <c r="B203" s="28"/>
      <c r="C203" s="20"/>
      <c r="D203" s="23"/>
      <c r="E203" s="23"/>
      <c r="F203" s="23"/>
      <c r="G203" s="23"/>
      <c r="H203" s="23"/>
      <c r="I203" s="23"/>
      <c r="J203" s="23"/>
      <c r="K203" s="23"/>
      <c r="L203" s="23"/>
      <c r="M203" s="24"/>
    </row>
    <row r="204" spans="2:13" ht="20.25" customHeight="1">
      <c r="B204" s="28"/>
      <c r="C204" s="20"/>
      <c r="D204" s="23"/>
      <c r="E204" s="23"/>
      <c r="F204" s="23"/>
      <c r="G204" s="23"/>
      <c r="H204" s="23"/>
      <c r="I204" s="23"/>
      <c r="J204" s="23"/>
      <c r="K204" s="23"/>
      <c r="L204" s="23"/>
      <c r="M204" s="24"/>
    </row>
    <row r="205" spans="2:13" ht="20.25" customHeight="1">
      <c r="B205" s="28"/>
      <c r="C205" s="20"/>
      <c r="D205" s="23"/>
      <c r="E205" s="23"/>
      <c r="F205" s="23"/>
      <c r="G205" s="23"/>
      <c r="H205" s="23"/>
      <c r="I205" s="23"/>
      <c r="J205" s="23"/>
      <c r="K205" s="23"/>
      <c r="L205" s="23"/>
      <c r="M205" s="24"/>
    </row>
    <row r="206" spans="2:13" ht="20.25" customHeight="1">
      <c r="B206" s="28"/>
      <c r="C206" s="20"/>
      <c r="D206" s="23"/>
      <c r="E206" s="23"/>
      <c r="F206" s="23"/>
      <c r="G206" s="23"/>
      <c r="H206" s="23"/>
      <c r="I206" s="23"/>
      <c r="J206" s="23"/>
      <c r="K206" s="23"/>
      <c r="L206" s="23"/>
      <c r="M206" s="24"/>
    </row>
    <row r="207" spans="2:13" ht="20.25" customHeight="1">
      <c r="B207" s="28"/>
      <c r="C207" s="20"/>
      <c r="D207" s="23"/>
      <c r="E207" s="23"/>
      <c r="F207" s="23"/>
      <c r="G207" s="23"/>
      <c r="H207" s="23"/>
      <c r="I207" s="23"/>
      <c r="J207" s="23"/>
      <c r="K207" s="23"/>
      <c r="L207" s="23"/>
      <c r="M207" s="24"/>
    </row>
    <row r="208" spans="2:13" ht="20.25" customHeight="1">
      <c r="B208" s="28"/>
      <c r="C208" s="20"/>
      <c r="D208" s="23"/>
      <c r="E208" s="23"/>
      <c r="F208" s="23"/>
      <c r="G208" s="23"/>
      <c r="H208" s="23"/>
      <c r="I208" s="23"/>
      <c r="J208" s="23"/>
      <c r="K208" s="23"/>
      <c r="L208" s="23"/>
      <c r="M208" s="24"/>
    </row>
    <row r="209" spans="2:13" ht="20.25" customHeight="1">
      <c r="B209" s="28"/>
      <c r="C209" s="20"/>
      <c r="D209" s="23"/>
      <c r="E209" s="23"/>
      <c r="F209" s="23"/>
      <c r="G209" s="23"/>
      <c r="H209" s="23"/>
      <c r="I209" s="23"/>
      <c r="J209" s="23"/>
      <c r="K209" s="23"/>
      <c r="L209" s="23"/>
      <c r="M209" s="24"/>
    </row>
    <row r="210" spans="2:13" ht="20.25" customHeight="1">
      <c r="B210" s="28"/>
      <c r="C210" s="20"/>
      <c r="D210" s="23"/>
      <c r="E210" s="23"/>
      <c r="F210" s="23"/>
      <c r="G210" s="23"/>
      <c r="H210" s="23"/>
      <c r="I210" s="23"/>
      <c r="J210" s="23"/>
      <c r="K210" s="23"/>
      <c r="L210" s="23"/>
      <c r="M210" s="24"/>
    </row>
    <row r="211" spans="2:13" ht="20.25" customHeight="1">
      <c r="B211" s="28"/>
      <c r="C211" s="20"/>
      <c r="D211" s="23"/>
      <c r="E211" s="23"/>
      <c r="F211" s="23"/>
      <c r="G211" s="23"/>
      <c r="H211" s="23"/>
      <c r="I211" s="23"/>
      <c r="J211" s="23"/>
      <c r="K211" s="23"/>
      <c r="L211" s="23"/>
      <c r="M211" s="24"/>
    </row>
    <row r="212" spans="2:13" ht="20.25" customHeight="1">
      <c r="B212" s="28"/>
      <c r="C212" s="20"/>
      <c r="D212" s="23"/>
      <c r="E212" s="23"/>
      <c r="F212" s="23"/>
      <c r="G212" s="23"/>
      <c r="H212" s="23"/>
      <c r="I212" s="23"/>
      <c r="J212" s="23"/>
      <c r="K212" s="23"/>
      <c r="L212" s="23"/>
      <c r="M212" s="24"/>
    </row>
    <row r="213" spans="2:13" ht="20.25" customHeight="1">
      <c r="B213" s="28"/>
      <c r="C213" s="20"/>
      <c r="D213" s="23"/>
      <c r="E213" s="23"/>
      <c r="F213" s="23"/>
      <c r="G213" s="23"/>
      <c r="H213" s="23"/>
      <c r="I213" s="23"/>
      <c r="J213" s="23"/>
      <c r="K213" s="23"/>
      <c r="L213" s="23"/>
      <c r="M213" s="24"/>
    </row>
    <row r="214" spans="2:13" ht="20.25" customHeight="1">
      <c r="B214" s="28"/>
      <c r="C214" s="20"/>
      <c r="D214" s="23"/>
      <c r="E214" s="23"/>
      <c r="F214" s="23"/>
      <c r="G214" s="23"/>
      <c r="H214" s="23"/>
      <c r="I214" s="23"/>
      <c r="J214" s="23"/>
      <c r="K214" s="23"/>
      <c r="L214" s="23"/>
      <c r="M214" s="24"/>
    </row>
    <row r="215" spans="2:13" ht="20.25" customHeight="1">
      <c r="B215" s="28"/>
      <c r="C215" s="20"/>
      <c r="D215" s="23"/>
      <c r="E215" s="23"/>
      <c r="F215" s="23"/>
      <c r="G215" s="23"/>
      <c r="H215" s="23"/>
      <c r="I215" s="23"/>
      <c r="J215" s="23"/>
      <c r="K215" s="23"/>
      <c r="L215" s="23"/>
      <c r="M215" s="24"/>
    </row>
    <row r="216" spans="2:13" ht="20.25" customHeight="1">
      <c r="B216" s="28"/>
      <c r="C216" s="20"/>
      <c r="D216" s="23"/>
      <c r="E216" s="23"/>
      <c r="F216" s="23"/>
      <c r="G216" s="23"/>
      <c r="H216" s="23"/>
      <c r="I216" s="23"/>
      <c r="J216" s="23"/>
      <c r="K216" s="23"/>
      <c r="L216" s="23"/>
      <c r="M216" s="24"/>
    </row>
    <row r="217" spans="2:13" ht="20.25" customHeight="1">
      <c r="B217" s="28"/>
      <c r="C217" s="20"/>
      <c r="D217" s="23"/>
      <c r="E217" s="23"/>
      <c r="F217" s="23"/>
      <c r="G217" s="23"/>
      <c r="H217" s="23"/>
      <c r="I217" s="23"/>
      <c r="J217" s="23"/>
      <c r="K217" s="23"/>
      <c r="L217" s="23"/>
      <c r="M217" s="24"/>
    </row>
    <row r="218" spans="2:13" ht="20.25" customHeight="1">
      <c r="B218" s="28"/>
      <c r="C218" s="20"/>
      <c r="D218" s="23"/>
      <c r="E218" s="23"/>
      <c r="F218" s="23"/>
      <c r="G218" s="23"/>
      <c r="H218" s="23"/>
      <c r="I218" s="23"/>
      <c r="J218" s="23"/>
      <c r="K218" s="23"/>
      <c r="L218" s="23"/>
      <c r="M218" s="24"/>
    </row>
    <row r="219" spans="2:13" ht="20.25" customHeight="1">
      <c r="B219" s="28"/>
      <c r="C219" s="20"/>
      <c r="D219" s="23"/>
      <c r="E219" s="23"/>
      <c r="F219" s="23"/>
      <c r="G219" s="23"/>
      <c r="H219" s="23"/>
      <c r="I219" s="23"/>
      <c r="J219" s="23"/>
      <c r="K219" s="23"/>
      <c r="L219" s="23"/>
      <c r="M219" s="24"/>
    </row>
    <row r="220" spans="2:13" ht="20.25" customHeight="1" thickBot="1">
      <c r="B220" s="47"/>
      <c r="C220" s="17"/>
      <c r="D220" s="80"/>
      <c r="E220" s="49"/>
      <c r="F220" s="49"/>
      <c r="G220" s="49"/>
      <c r="H220" s="49"/>
      <c r="I220" s="49"/>
      <c r="J220" s="49"/>
      <c r="K220" s="49"/>
      <c r="L220" s="49"/>
      <c r="M220" s="72"/>
    </row>
    <row r="221" spans="2:13" ht="20.25" customHeight="1" thickBot="1"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</row>
    <row r="222" spans="2:13" ht="20.25" customHeight="1" thickBot="1">
      <c r="B222" s="51"/>
      <c r="C222" s="51"/>
      <c r="D222" s="51"/>
      <c r="E222" s="51"/>
      <c r="F222" s="9"/>
      <c r="G222" s="9"/>
      <c r="H222" s="9"/>
      <c r="I222" s="64" t="str">
        <f>I1</f>
        <v>生産技術三課</v>
      </c>
      <c r="J222" s="73"/>
      <c r="K222" s="1"/>
      <c r="L222" s="64" t="str">
        <f>"6/"&amp;$O3</f>
        <v>6/3</v>
      </c>
      <c r="M222" s="63" t="s">
        <v>9</v>
      </c>
    </row>
    <row r="223" spans="2:13" ht="20.25" customHeight="1">
      <c r="B223" s="118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119"/>
    </row>
    <row r="224" spans="2:13" ht="20.25" customHeight="1">
      <c r="B224" s="28"/>
      <c r="C224" s="20"/>
      <c r="D224" s="23"/>
      <c r="E224" s="23"/>
      <c r="F224" s="23"/>
      <c r="G224" s="23"/>
      <c r="H224" s="23"/>
      <c r="I224" s="23"/>
      <c r="J224" s="23"/>
      <c r="K224" s="23"/>
      <c r="L224" s="23"/>
      <c r="M224" s="24"/>
    </row>
    <row r="225" spans="2:13" ht="20.25" customHeight="1">
      <c r="B225" s="28"/>
      <c r="C225" s="20"/>
      <c r="D225" s="23"/>
      <c r="E225" s="23"/>
      <c r="F225" s="23"/>
      <c r="G225" s="23"/>
      <c r="H225" s="23"/>
      <c r="I225" s="23"/>
      <c r="J225" s="23"/>
      <c r="K225" s="23"/>
      <c r="L225" s="23"/>
      <c r="M225" s="24"/>
    </row>
    <row r="226" spans="2:13" ht="20.25" customHeight="1">
      <c r="B226" s="28"/>
      <c r="C226" s="20"/>
      <c r="D226" s="23"/>
      <c r="E226" s="23"/>
      <c r="F226" s="23"/>
      <c r="G226" s="23"/>
      <c r="H226" s="23"/>
      <c r="I226" s="23"/>
      <c r="J226" s="23"/>
      <c r="K226" s="23"/>
      <c r="L226" s="23"/>
      <c r="M226" s="24"/>
    </row>
    <row r="227" spans="2:13" ht="20.25" customHeight="1">
      <c r="B227" s="28"/>
      <c r="C227" s="20"/>
      <c r="D227" s="23"/>
      <c r="E227" s="23"/>
      <c r="F227" s="23"/>
      <c r="G227" s="23"/>
      <c r="H227" s="23"/>
      <c r="I227" s="23"/>
      <c r="J227" s="23"/>
      <c r="K227" s="23"/>
      <c r="L227" s="23"/>
      <c r="M227" s="24"/>
    </row>
    <row r="228" spans="2:13" ht="20.25" customHeight="1">
      <c r="B228" s="28"/>
      <c r="C228" s="20"/>
      <c r="D228" s="23"/>
      <c r="E228" s="30"/>
      <c r="F228" s="23"/>
      <c r="G228" s="23"/>
      <c r="H228" s="23"/>
      <c r="I228" s="23"/>
      <c r="J228" s="23"/>
      <c r="K228" s="23"/>
      <c r="L228" s="23"/>
      <c r="M228" s="24"/>
    </row>
    <row r="229" spans="2:13" ht="20.25" customHeight="1">
      <c r="B229" s="28"/>
      <c r="C229" s="20"/>
      <c r="D229" s="23"/>
      <c r="E229" s="23"/>
      <c r="F229" s="23"/>
      <c r="G229" s="23"/>
      <c r="H229" s="23"/>
      <c r="I229" s="23"/>
      <c r="J229" s="23"/>
      <c r="K229" s="23"/>
      <c r="L229" s="23"/>
      <c r="M229" s="24"/>
    </row>
    <row r="230" spans="2:13" ht="20.25" customHeight="1">
      <c r="B230" s="28"/>
      <c r="C230" s="20"/>
      <c r="D230" s="23"/>
      <c r="E230" s="23"/>
      <c r="F230" s="23"/>
      <c r="G230" s="23"/>
      <c r="H230" s="23"/>
      <c r="I230" s="23"/>
      <c r="J230" s="23"/>
      <c r="K230" s="23"/>
      <c r="L230" s="23"/>
      <c r="M230" s="24"/>
    </row>
    <row r="231" spans="2:13" ht="20.25" customHeight="1">
      <c r="B231" s="28"/>
      <c r="C231" s="20"/>
      <c r="D231" s="23"/>
      <c r="E231" s="23"/>
      <c r="F231" s="23"/>
      <c r="G231" s="23"/>
      <c r="H231" s="23"/>
      <c r="I231" s="23"/>
      <c r="J231" s="23"/>
      <c r="K231" s="23"/>
      <c r="L231" s="23"/>
      <c r="M231" s="24"/>
    </row>
    <row r="232" spans="2:13" ht="20.25" customHeight="1">
      <c r="B232" s="28"/>
      <c r="C232" s="20"/>
      <c r="D232" s="23"/>
      <c r="E232" s="23"/>
      <c r="F232" s="23"/>
      <c r="G232" s="23"/>
      <c r="H232" s="23"/>
      <c r="I232" s="23"/>
      <c r="J232" s="23"/>
      <c r="K232" s="23"/>
      <c r="L232" s="23"/>
      <c r="M232" s="24"/>
    </row>
    <row r="233" spans="2:13" ht="20.25" customHeight="1">
      <c r="B233" s="28"/>
      <c r="C233" s="20"/>
      <c r="D233" s="23"/>
      <c r="E233" s="23"/>
      <c r="F233" s="23"/>
      <c r="G233" s="23"/>
      <c r="H233" s="23"/>
      <c r="I233" s="23"/>
      <c r="J233" s="23"/>
      <c r="K233" s="23"/>
      <c r="L233" s="23"/>
      <c r="M233" s="24"/>
    </row>
    <row r="234" spans="2:13" ht="20.25" customHeight="1">
      <c r="B234" s="28"/>
      <c r="C234" s="20"/>
      <c r="D234" s="23"/>
      <c r="E234" s="23"/>
      <c r="F234" s="23"/>
      <c r="G234" s="23"/>
      <c r="H234" s="23"/>
      <c r="I234" s="23"/>
      <c r="J234" s="23"/>
      <c r="K234" s="23"/>
      <c r="L234" s="23"/>
      <c r="M234" s="24"/>
    </row>
    <row r="235" spans="2:13" ht="20.25" customHeight="1">
      <c r="B235" s="28"/>
      <c r="C235" s="20"/>
      <c r="D235" s="23"/>
      <c r="E235" s="23"/>
      <c r="F235" s="23"/>
      <c r="G235" s="23"/>
      <c r="H235" s="23"/>
      <c r="I235" s="23"/>
      <c r="J235" s="23"/>
      <c r="K235" s="23"/>
      <c r="L235" s="23"/>
      <c r="M235" s="24"/>
    </row>
    <row r="236" spans="2:13" ht="20.25" customHeight="1">
      <c r="B236" s="28"/>
      <c r="C236" s="20"/>
      <c r="D236" s="23"/>
      <c r="E236" s="23"/>
      <c r="F236" s="23"/>
      <c r="G236" s="23"/>
      <c r="H236" s="23"/>
      <c r="I236" s="23"/>
      <c r="J236" s="23"/>
      <c r="K236" s="23"/>
      <c r="L236" s="23"/>
      <c r="M236" s="24"/>
    </row>
    <row r="237" spans="2:13" ht="20.25" customHeight="1">
      <c r="B237" s="28"/>
      <c r="C237" s="20"/>
      <c r="D237" s="23"/>
      <c r="E237" s="23"/>
      <c r="F237" s="23"/>
      <c r="G237" s="23"/>
      <c r="H237" s="23"/>
      <c r="I237" s="23"/>
      <c r="J237" s="23"/>
      <c r="K237" s="23"/>
      <c r="L237" s="23"/>
      <c r="M237" s="24"/>
    </row>
    <row r="238" spans="2:13" ht="20.25" customHeight="1">
      <c r="B238" s="28"/>
      <c r="C238" s="20"/>
      <c r="D238" s="23"/>
      <c r="E238" s="23"/>
      <c r="F238" s="23"/>
      <c r="G238" s="23"/>
      <c r="H238" s="23"/>
      <c r="I238" s="23"/>
      <c r="J238" s="23"/>
      <c r="K238" s="23"/>
      <c r="L238" s="23"/>
      <c r="M238" s="24"/>
    </row>
    <row r="239" spans="2:13" ht="20.25" customHeight="1">
      <c r="B239" s="28"/>
      <c r="C239" s="20"/>
      <c r="D239" s="23"/>
      <c r="E239" s="23"/>
      <c r="F239" s="23"/>
      <c r="G239" s="23"/>
      <c r="H239" s="23"/>
      <c r="I239" s="23"/>
      <c r="J239" s="23"/>
      <c r="K239" s="23"/>
      <c r="L239" s="23"/>
      <c r="M239" s="24"/>
    </row>
    <row r="240" spans="2:13" ht="20.25" customHeight="1">
      <c r="B240" s="28"/>
      <c r="C240" s="20"/>
      <c r="D240" s="23"/>
      <c r="E240" s="23"/>
      <c r="F240" s="23"/>
      <c r="G240" s="23"/>
      <c r="H240" s="23"/>
      <c r="I240" s="23"/>
      <c r="J240" s="23"/>
      <c r="K240" s="23"/>
      <c r="L240" s="23"/>
      <c r="M240" s="24"/>
    </row>
    <row r="241" spans="2:13" ht="20.25" customHeight="1">
      <c r="B241" s="28"/>
      <c r="C241" s="20"/>
      <c r="D241" s="23"/>
      <c r="E241" s="23"/>
      <c r="F241" s="23"/>
      <c r="G241" s="23"/>
      <c r="H241" s="23"/>
      <c r="I241" s="23"/>
      <c r="J241" s="23"/>
      <c r="K241" s="23"/>
      <c r="L241" s="23"/>
      <c r="M241" s="24"/>
    </row>
    <row r="242" spans="2:13" ht="20.25" customHeight="1">
      <c r="B242" s="28"/>
      <c r="C242" s="20"/>
      <c r="D242" s="23"/>
      <c r="E242" s="23"/>
      <c r="F242" s="23"/>
      <c r="G242" s="23"/>
      <c r="H242" s="23"/>
      <c r="I242" s="23"/>
      <c r="J242" s="23"/>
      <c r="K242" s="23"/>
      <c r="L242" s="23"/>
      <c r="M242" s="24"/>
    </row>
    <row r="243" spans="2:13" ht="20.25" customHeight="1">
      <c r="B243" s="28"/>
      <c r="C243" s="20"/>
      <c r="D243" s="23"/>
      <c r="E243" s="23"/>
      <c r="F243" s="23"/>
      <c r="G243" s="23"/>
      <c r="H243" s="23"/>
      <c r="I243" s="23"/>
      <c r="J243" s="23"/>
      <c r="K243" s="23"/>
      <c r="L243" s="23"/>
      <c r="M243" s="24"/>
    </row>
    <row r="244" spans="2:13" ht="20.25" customHeight="1">
      <c r="B244" s="28"/>
      <c r="C244" s="20"/>
      <c r="D244" s="23"/>
      <c r="E244" s="23"/>
      <c r="F244" s="23"/>
      <c r="G244" s="23"/>
      <c r="H244" s="23"/>
      <c r="I244" s="23"/>
      <c r="J244" s="23"/>
      <c r="K244" s="23"/>
      <c r="L244" s="23"/>
      <c r="M244" s="24"/>
    </row>
    <row r="245" spans="2:13" ht="20.25" customHeight="1">
      <c r="B245" s="28"/>
      <c r="C245" s="20"/>
      <c r="D245" s="23"/>
      <c r="E245" s="23"/>
      <c r="F245" s="23"/>
      <c r="G245" s="23"/>
      <c r="H245" s="23"/>
      <c r="I245" s="23"/>
      <c r="J245" s="23"/>
      <c r="K245" s="23"/>
      <c r="L245" s="23"/>
      <c r="M245" s="24"/>
    </row>
    <row r="246" spans="2:13" ht="20.25" customHeight="1">
      <c r="B246" s="28"/>
      <c r="C246" s="20"/>
      <c r="D246" s="23"/>
      <c r="E246" s="23"/>
      <c r="F246" s="23"/>
      <c r="G246" s="23"/>
      <c r="H246" s="23"/>
      <c r="I246" s="23"/>
      <c r="J246" s="23"/>
      <c r="K246" s="23"/>
      <c r="L246" s="23"/>
      <c r="M246" s="24"/>
    </row>
    <row r="247" spans="2:13" ht="20.25" customHeight="1">
      <c r="B247" s="28"/>
      <c r="C247" s="20"/>
      <c r="D247" s="23"/>
      <c r="E247" s="23"/>
      <c r="F247" s="23"/>
      <c r="G247" s="23"/>
      <c r="H247" s="23"/>
      <c r="I247" s="23"/>
      <c r="J247" s="23"/>
      <c r="K247" s="23"/>
      <c r="L247" s="23"/>
      <c r="M247" s="24"/>
    </row>
    <row r="248" spans="2:13" ht="20.25" customHeight="1">
      <c r="B248" s="28"/>
      <c r="C248" s="20"/>
      <c r="D248" s="23"/>
      <c r="E248" s="23"/>
      <c r="F248" s="23"/>
      <c r="G248" s="23"/>
      <c r="H248" s="23"/>
      <c r="I248" s="23"/>
      <c r="J248" s="23"/>
      <c r="K248" s="23"/>
      <c r="L248" s="23"/>
      <c r="M248" s="24"/>
    </row>
    <row r="249" spans="2:13" ht="20.25" customHeight="1">
      <c r="B249" s="28"/>
      <c r="C249" s="20"/>
      <c r="D249" s="23"/>
      <c r="E249" s="23"/>
      <c r="F249" s="23"/>
      <c r="G249" s="23"/>
      <c r="H249" s="23"/>
      <c r="I249" s="23"/>
      <c r="J249" s="23"/>
      <c r="K249" s="23"/>
      <c r="L249" s="23"/>
      <c r="M249" s="24"/>
    </row>
    <row r="250" spans="2:13" ht="20.25" customHeight="1">
      <c r="B250" s="28"/>
      <c r="C250" s="20"/>
      <c r="D250" s="23"/>
      <c r="E250" s="23"/>
      <c r="F250" s="23"/>
      <c r="G250" s="23"/>
      <c r="H250" s="23"/>
      <c r="I250" s="23"/>
      <c r="J250" s="23"/>
      <c r="K250" s="23"/>
      <c r="L250" s="23"/>
      <c r="M250" s="24"/>
    </row>
    <row r="251" spans="2:13" ht="20.25" customHeight="1">
      <c r="B251" s="28"/>
      <c r="C251" s="20"/>
      <c r="D251" s="23"/>
      <c r="E251" s="23"/>
      <c r="F251" s="23"/>
      <c r="G251" s="23"/>
      <c r="H251" s="23"/>
      <c r="I251" s="23"/>
      <c r="J251" s="23"/>
      <c r="K251" s="23"/>
      <c r="L251" s="23"/>
      <c r="M251" s="24"/>
    </row>
    <row r="252" spans="2:13" ht="20.25" customHeight="1">
      <c r="B252" s="28"/>
      <c r="C252" s="20"/>
      <c r="D252" s="23"/>
      <c r="E252" s="23"/>
      <c r="F252" s="23"/>
      <c r="G252" s="23"/>
      <c r="H252" s="23"/>
      <c r="I252" s="23"/>
      <c r="J252" s="23"/>
      <c r="K252" s="23"/>
      <c r="L252" s="23"/>
      <c r="M252" s="24"/>
    </row>
    <row r="253" spans="2:13" ht="20.25" customHeight="1">
      <c r="B253" s="28"/>
      <c r="C253" s="20"/>
      <c r="D253" s="23"/>
      <c r="E253" s="23"/>
      <c r="F253" s="23"/>
      <c r="G253" s="23"/>
      <c r="H253" s="23"/>
      <c r="I253" s="23"/>
      <c r="J253" s="23"/>
      <c r="K253" s="23"/>
      <c r="L253" s="23"/>
      <c r="M253" s="24"/>
    </row>
    <row r="254" spans="2:13" ht="20.25" customHeight="1">
      <c r="B254" s="28"/>
      <c r="C254" s="20"/>
      <c r="D254" s="23"/>
      <c r="E254" s="23"/>
      <c r="F254" s="23"/>
      <c r="G254" s="23"/>
      <c r="H254" s="23"/>
      <c r="I254" s="23"/>
      <c r="J254" s="23"/>
      <c r="K254" s="23"/>
      <c r="L254" s="23"/>
      <c r="M254" s="24"/>
    </row>
    <row r="255" spans="2:13" ht="20.25" customHeight="1">
      <c r="B255" s="28"/>
      <c r="C255" s="20"/>
      <c r="D255" s="23"/>
      <c r="E255" s="23"/>
      <c r="F255" s="23"/>
      <c r="G255" s="23"/>
      <c r="H255" s="23"/>
      <c r="I255" s="23"/>
      <c r="J255" s="23"/>
      <c r="K255" s="23"/>
      <c r="L255" s="23"/>
      <c r="M255" s="24"/>
    </row>
    <row r="256" spans="2:13" ht="20.25" customHeight="1">
      <c r="B256" s="28"/>
      <c r="C256" s="20"/>
      <c r="D256" s="23"/>
      <c r="E256" s="23"/>
      <c r="F256" s="23"/>
      <c r="G256" s="23"/>
      <c r="H256" s="23"/>
      <c r="I256" s="23"/>
      <c r="J256" s="23"/>
      <c r="K256" s="23"/>
      <c r="L256" s="23"/>
      <c r="M256" s="24"/>
    </row>
    <row r="257" spans="2:13" ht="20.25" customHeight="1">
      <c r="B257" s="28"/>
      <c r="C257" s="20"/>
      <c r="D257" s="23"/>
      <c r="E257" s="23"/>
      <c r="F257" s="23"/>
      <c r="G257" s="23"/>
      <c r="H257" s="23"/>
      <c r="I257" s="23"/>
      <c r="J257" s="23"/>
      <c r="K257" s="23"/>
      <c r="L257" s="23"/>
      <c r="M257" s="24"/>
    </row>
    <row r="258" spans="2:13" ht="20.25" customHeight="1">
      <c r="B258" s="28"/>
      <c r="C258" s="20"/>
      <c r="D258" s="23"/>
      <c r="E258" s="23"/>
      <c r="F258" s="23"/>
      <c r="G258" s="23"/>
      <c r="H258" s="23"/>
      <c r="I258" s="23"/>
      <c r="J258" s="23"/>
      <c r="K258" s="23"/>
      <c r="L258" s="23"/>
      <c r="M258" s="24"/>
    </row>
    <row r="259" spans="2:13" ht="20.25" customHeight="1">
      <c r="B259" s="28"/>
      <c r="C259" s="20"/>
      <c r="D259" s="23"/>
      <c r="E259" s="23"/>
      <c r="F259" s="23"/>
      <c r="G259" s="23"/>
      <c r="H259" s="23"/>
      <c r="I259" s="23"/>
      <c r="J259" s="23"/>
      <c r="K259" s="23"/>
      <c r="L259" s="23"/>
      <c r="M259" s="24"/>
    </row>
    <row r="260" spans="2:13" ht="20.25" customHeight="1">
      <c r="B260" s="28"/>
      <c r="C260" s="20"/>
      <c r="D260" s="23"/>
      <c r="E260" s="23"/>
      <c r="F260" s="23"/>
      <c r="G260" s="23"/>
      <c r="H260" s="23"/>
      <c r="I260" s="23"/>
      <c r="J260" s="23"/>
      <c r="K260" s="23"/>
      <c r="L260" s="23"/>
      <c r="M260" s="24"/>
    </row>
    <row r="261" spans="2:13" ht="20.25" customHeight="1">
      <c r="B261" s="28"/>
      <c r="C261" s="20"/>
      <c r="D261" s="23"/>
      <c r="E261" s="23"/>
      <c r="F261" s="23"/>
      <c r="G261" s="23"/>
      <c r="H261" s="23"/>
      <c r="I261" s="23"/>
      <c r="J261" s="23"/>
      <c r="K261" s="23"/>
      <c r="L261" s="23"/>
      <c r="M261" s="24"/>
    </row>
    <row r="262" spans="2:13" ht="20.25" customHeight="1">
      <c r="B262" s="28"/>
      <c r="C262" s="20"/>
      <c r="D262" s="23"/>
      <c r="E262" s="23"/>
      <c r="F262" s="23"/>
      <c r="G262" s="23"/>
      <c r="H262" s="23"/>
      <c r="I262" s="23"/>
      <c r="J262" s="23"/>
      <c r="K262" s="23"/>
      <c r="L262" s="23"/>
      <c r="M262" s="24"/>
    </row>
    <row r="263" spans="2:13" ht="20.25" customHeight="1">
      <c r="B263" s="28"/>
      <c r="C263" s="20"/>
      <c r="D263" s="23"/>
      <c r="E263" s="23"/>
      <c r="F263" s="23"/>
      <c r="G263" s="23"/>
      <c r="H263" s="23"/>
      <c r="I263" s="23"/>
      <c r="J263" s="23"/>
      <c r="K263" s="23"/>
      <c r="L263" s="23"/>
      <c r="M263" s="24"/>
    </row>
    <row r="264" spans="2:13" ht="20.25" customHeight="1">
      <c r="B264" s="28"/>
      <c r="C264" s="20"/>
      <c r="D264" s="23"/>
      <c r="E264" s="23"/>
      <c r="F264" s="23"/>
      <c r="G264" s="23"/>
      <c r="H264" s="23"/>
      <c r="I264" s="23"/>
      <c r="J264" s="23"/>
      <c r="K264" s="23"/>
      <c r="L264" s="23"/>
      <c r="M264" s="24"/>
    </row>
    <row r="265" spans="2:13" ht="20.25" customHeight="1" thickBot="1">
      <c r="B265" s="47"/>
      <c r="C265" s="17"/>
      <c r="D265" s="80"/>
      <c r="E265" s="49"/>
      <c r="F265" s="49"/>
      <c r="G265" s="49"/>
      <c r="H265" s="49"/>
      <c r="I265" s="49"/>
      <c r="J265" s="49"/>
      <c r="K265" s="49"/>
      <c r="L265" s="49"/>
      <c r="M265" s="72"/>
    </row>
    <row r="266" spans="2:13" ht="15" thickBot="1"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</row>
    <row r="267" spans="2:13" ht="22.5" customHeight="1" thickBot="1">
      <c r="B267" s="51"/>
      <c r="C267" s="51"/>
      <c r="D267" s="51"/>
      <c r="E267" s="51"/>
      <c r="F267" s="9"/>
      <c r="G267" s="9"/>
      <c r="H267" s="9"/>
      <c r="I267" s="64" t="str">
        <f>I1</f>
        <v>生産技術三課</v>
      </c>
      <c r="J267" s="73"/>
      <c r="K267" s="1"/>
      <c r="L267" s="64" t="str">
        <f>"7/"&amp;$O3</f>
        <v>7/3</v>
      </c>
      <c r="M267" s="63" t="s">
        <v>9</v>
      </c>
    </row>
    <row r="268" spans="2:13" ht="20.25" customHeight="1">
      <c r="B268" s="118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119"/>
    </row>
    <row r="269" spans="2:13" ht="20.25" customHeight="1">
      <c r="B269" s="28"/>
      <c r="C269" s="20"/>
      <c r="D269" s="23"/>
      <c r="E269" s="23"/>
      <c r="F269" s="23"/>
      <c r="G269" s="23"/>
      <c r="H269" s="23"/>
      <c r="I269" s="23"/>
      <c r="J269" s="23"/>
      <c r="K269" s="23"/>
      <c r="L269" s="23"/>
      <c r="M269" s="24"/>
    </row>
    <row r="270" spans="2:13" ht="20.25" customHeight="1">
      <c r="B270" s="28"/>
      <c r="C270" s="20"/>
      <c r="D270" s="23"/>
      <c r="E270" s="23"/>
      <c r="F270" s="23"/>
      <c r="G270" s="23"/>
      <c r="H270" s="23"/>
      <c r="I270" s="23"/>
      <c r="J270" s="23"/>
      <c r="K270" s="23"/>
      <c r="L270" s="23"/>
      <c r="M270" s="24"/>
    </row>
    <row r="271" spans="2:13" ht="20.25" customHeight="1">
      <c r="B271" s="28"/>
      <c r="C271" s="20"/>
      <c r="D271" s="23"/>
      <c r="E271" s="23"/>
      <c r="F271" s="23"/>
      <c r="G271" s="23"/>
      <c r="H271" s="23"/>
      <c r="I271" s="23"/>
      <c r="J271" s="23"/>
      <c r="K271" s="23"/>
      <c r="L271" s="23"/>
      <c r="M271" s="24"/>
    </row>
    <row r="272" spans="2:13" ht="20.25" customHeight="1">
      <c r="B272" s="28"/>
      <c r="C272" s="20"/>
      <c r="D272" s="23"/>
      <c r="E272" s="23"/>
      <c r="F272" s="23"/>
      <c r="G272" s="23"/>
      <c r="H272" s="23"/>
      <c r="I272" s="23"/>
      <c r="J272" s="23"/>
      <c r="K272" s="23"/>
      <c r="L272" s="23"/>
      <c r="M272" s="24"/>
    </row>
    <row r="273" spans="2:13" ht="20.25" customHeight="1">
      <c r="B273" s="28"/>
      <c r="C273" s="20"/>
      <c r="D273" s="23"/>
      <c r="E273" s="30"/>
      <c r="F273" s="23"/>
      <c r="G273" s="23"/>
      <c r="H273" s="23"/>
      <c r="I273" s="23"/>
      <c r="J273" s="23"/>
      <c r="K273" s="23"/>
      <c r="L273" s="23"/>
      <c r="M273" s="24"/>
    </row>
    <row r="274" spans="2:13" ht="20.25" customHeight="1">
      <c r="B274" s="28"/>
      <c r="C274" s="20"/>
      <c r="D274" s="23"/>
      <c r="E274" s="23"/>
      <c r="F274" s="23"/>
      <c r="G274" s="23"/>
      <c r="H274" s="23"/>
      <c r="I274" s="23"/>
      <c r="J274" s="23"/>
      <c r="K274" s="23"/>
      <c r="L274" s="23"/>
      <c r="M274" s="24"/>
    </row>
    <row r="275" spans="2:13" ht="20.25" customHeight="1">
      <c r="B275" s="28"/>
      <c r="C275" s="20"/>
      <c r="D275" s="23"/>
      <c r="E275" s="23"/>
      <c r="F275" s="23"/>
      <c r="G275" s="23"/>
      <c r="H275" s="23"/>
      <c r="I275" s="23"/>
      <c r="J275" s="23"/>
      <c r="K275" s="23"/>
      <c r="L275" s="23"/>
      <c r="M275" s="24"/>
    </row>
    <row r="276" spans="2:13" ht="20.25" customHeight="1">
      <c r="B276" s="28"/>
      <c r="C276" s="20"/>
      <c r="D276" s="23"/>
      <c r="E276" s="23"/>
      <c r="F276" s="23"/>
      <c r="G276" s="23"/>
      <c r="H276" s="23"/>
      <c r="I276" s="23"/>
      <c r="J276" s="23"/>
      <c r="K276" s="23"/>
      <c r="L276" s="23"/>
      <c r="M276" s="24"/>
    </row>
    <row r="277" spans="2:13" ht="20.25" customHeight="1">
      <c r="B277" s="28"/>
      <c r="C277" s="20"/>
      <c r="D277" s="23"/>
      <c r="E277" s="23"/>
      <c r="F277" s="23"/>
      <c r="G277" s="23"/>
      <c r="H277" s="23"/>
      <c r="I277" s="23"/>
      <c r="J277" s="23"/>
      <c r="K277" s="23"/>
      <c r="L277" s="23"/>
      <c r="M277" s="24"/>
    </row>
    <row r="278" spans="2:13" ht="20.25" customHeight="1">
      <c r="B278" s="28"/>
      <c r="C278" s="20"/>
      <c r="D278" s="23"/>
      <c r="E278" s="23"/>
      <c r="F278" s="23"/>
      <c r="G278" s="23"/>
      <c r="H278" s="23"/>
      <c r="I278" s="23"/>
      <c r="J278" s="23"/>
      <c r="K278" s="23"/>
      <c r="L278" s="23"/>
      <c r="M278" s="24"/>
    </row>
    <row r="279" spans="2:13" ht="20.25" customHeight="1">
      <c r="B279" s="28"/>
      <c r="C279" s="20"/>
      <c r="D279" s="23"/>
      <c r="E279" s="23"/>
      <c r="F279" s="23"/>
      <c r="G279" s="23"/>
      <c r="H279" s="23"/>
      <c r="I279" s="23"/>
      <c r="J279" s="23"/>
      <c r="K279" s="23"/>
      <c r="L279" s="23"/>
      <c r="M279" s="24"/>
    </row>
    <row r="280" spans="2:13" ht="20.25" customHeight="1">
      <c r="B280" s="28"/>
      <c r="C280" s="20"/>
      <c r="D280" s="23"/>
      <c r="E280" s="23"/>
      <c r="F280" s="23"/>
      <c r="G280" s="23"/>
      <c r="H280" s="23"/>
      <c r="I280" s="23"/>
      <c r="J280" s="23"/>
      <c r="K280" s="23"/>
      <c r="L280" s="23"/>
      <c r="M280" s="24"/>
    </row>
    <row r="281" spans="2:13" ht="20.25" customHeight="1">
      <c r="B281" s="28"/>
      <c r="C281" s="20"/>
      <c r="D281" s="23"/>
      <c r="E281" s="23"/>
      <c r="F281" s="23"/>
      <c r="G281" s="23"/>
      <c r="H281" s="23"/>
      <c r="I281" s="23"/>
      <c r="J281" s="23"/>
      <c r="K281" s="23"/>
      <c r="L281" s="23"/>
      <c r="M281" s="24"/>
    </row>
    <row r="282" spans="2:13" ht="20.25" customHeight="1">
      <c r="B282" s="28"/>
      <c r="C282" s="20"/>
      <c r="D282" s="23"/>
      <c r="E282" s="23"/>
      <c r="F282" s="23"/>
      <c r="G282" s="23"/>
      <c r="H282" s="23"/>
      <c r="I282" s="23"/>
      <c r="J282" s="23"/>
      <c r="K282" s="23"/>
      <c r="L282" s="23"/>
      <c r="M282" s="24"/>
    </row>
    <row r="283" spans="2:13" ht="20.25" customHeight="1">
      <c r="B283" s="28"/>
      <c r="C283" s="20"/>
      <c r="D283" s="23"/>
      <c r="E283" s="23"/>
      <c r="F283" s="23"/>
      <c r="G283" s="23"/>
      <c r="H283" s="23"/>
      <c r="I283" s="23"/>
      <c r="J283" s="23"/>
      <c r="K283" s="23"/>
      <c r="L283" s="23"/>
      <c r="M283" s="24"/>
    </row>
    <row r="284" spans="2:13" ht="20.25" customHeight="1">
      <c r="B284" s="28"/>
      <c r="C284" s="20"/>
      <c r="D284" s="23"/>
      <c r="E284" s="23"/>
      <c r="F284" s="23"/>
      <c r="G284" s="23"/>
      <c r="H284" s="23"/>
      <c r="I284" s="23"/>
      <c r="J284" s="23"/>
      <c r="K284" s="23"/>
      <c r="L284" s="23"/>
      <c r="M284" s="24"/>
    </row>
    <row r="285" spans="2:13" ht="20.25" customHeight="1">
      <c r="B285" s="28"/>
      <c r="C285" s="20"/>
      <c r="D285" s="23"/>
      <c r="E285" s="23"/>
      <c r="F285" s="23"/>
      <c r="G285" s="23"/>
      <c r="H285" s="23"/>
      <c r="I285" s="23"/>
      <c r="J285" s="23"/>
      <c r="K285" s="23"/>
      <c r="L285" s="23"/>
      <c r="M285" s="24"/>
    </row>
    <row r="286" spans="2:13" ht="20.25" customHeight="1">
      <c r="B286" s="28"/>
      <c r="C286" s="20"/>
      <c r="D286" s="23"/>
      <c r="E286" s="23"/>
      <c r="F286" s="23"/>
      <c r="G286" s="23"/>
      <c r="H286" s="23"/>
      <c r="I286" s="23"/>
      <c r="J286" s="23"/>
      <c r="K286" s="23"/>
      <c r="L286" s="23"/>
      <c r="M286" s="24"/>
    </row>
    <row r="287" spans="2:13" ht="20.25" customHeight="1">
      <c r="B287" s="28"/>
      <c r="C287" s="20"/>
      <c r="D287" s="23"/>
      <c r="E287" s="23"/>
      <c r="F287" s="23"/>
      <c r="G287" s="23"/>
      <c r="H287" s="23"/>
      <c r="I287" s="23"/>
      <c r="J287" s="23"/>
      <c r="K287" s="23"/>
      <c r="L287" s="23"/>
      <c r="M287" s="24"/>
    </row>
    <row r="288" spans="2:13" ht="20.25" customHeight="1">
      <c r="B288" s="28"/>
      <c r="C288" s="20"/>
      <c r="D288" s="23"/>
      <c r="E288" s="23"/>
      <c r="F288" s="23"/>
      <c r="G288" s="23"/>
      <c r="H288" s="23"/>
      <c r="I288" s="23"/>
      <c r="J288" s="23"/>
      <c r="K288" s="23"/>
      <c r="L288" s="23"/>
      <c r="M288" s="24"/>
    </row>
    <row r="289" spans="2:13" ht="20.25" customHeight="1">
      <c r="B289" s="28"/>
      <c r="C289" s="20"/>
      <c r="D289" s="23"/>
      <c r="E289" s="23"/>
      <c r="F289" s="23"/>
      <c r="G289" s="23"/>
      <c r="H289" s="23"/>
      <c r="I289" s="23"/>
      <c r="J289" s="23"/>
      <c r="K289" s="23"/>
      <c r="L289" s="23"/>
      <c r="M289" s="24"/>
    </row>
    <row r="290" spans="2:13" ht="20.25" customHeight="1">
      <c r="B290" s="28"/>
      <c r="C290" s="20"/>
      <c r="D290" s="23"/>
      <c r="E290" s="23"/>
      <c r="F290" s="23"/>
      <c r="G290" s="23"/>
      <c r="H290" s="23"/>
      <c r="I290" s="23"/>
      <c r="J290" s="23"/>
      <c r="K290" s="23"/>
      <c r="L290" s="23"/>
      <c r="M290" s="24"/>
    </row>
    <row r="291" spans="2:13" ht="20.25" customHeight="1">
      <c r="B291" s="28"/>
      <c r="C291" s="20"/>
      <c r="D291" s="23"/>
      <c r="E291" s="23"/>
      <c r="F291" s="23"/>
      <c r="G291" s="23"/>
      <c r="H291" s="23"/>
      <c r="I291" s="23"/>
      <c r="J291" s="23"/>
      <c r="K291" s="23"/>
      <c r="L291" s="23"/>
      <c r="M291" s="24"/>
    </row>
    <row r="292" spans="2:13" ht="20.25" customHeight="1">
      <c r="B292" s="28"/>
      <c r="C292" s="20"/>
      <c r="D292" s="23"/>
      <c r="E292" s="23"/>
      <c r="F292" s="23"/>
      <c r="G292" s="23"/>
      <c r="H292" s="23"/>
      <c r="I292" s="23"/>
      <c r="J292" s="23"/>
      <c r="K292" s="23"/>
      <c r="L292" s="23"/>
      <c r="M292" s="24"/>
    </row>
    <row r="293" spans="2:13" ht="20.25" customHeight="1">
      <c r="B293" s="28"/>
      <c r="C293" s="20"/>
      <c r="D293" s="23"/>
      <c r="E293" s="23"/>
      <c r="F293" s="23"/>
      <c r="G293" s="23"/>
      <c r="H293" s="23"/>
      <c r="I293" s="23"/>
      <c r="J293" s="23"/>
      <c r="K293" s="23"/>
      <c r="L293" s="23"/>
      <c r="M293" s="24"/>
    </row>
    <row r="294" spans="2:13" ht="20.25" customHeight="1">
      <c r="B294" s="28"/>
      <c r="C294" s="20"/>
      <c r="D294" s="23"/>
      <c r="E294" s="23"/>
      <c r="F294" s="23"/>
      <c r="G294" s="23"/>
      <c r="H294" s="23"/>
      <c r="I294" s="23"/>
      <c r="J294" s="23"/>
      <c r="K294" s="23"/>
      <c r="L294" s="23"/>
      <c r="M294" s="24"/>
    </row>
    <row r="295" spans="2:13" ht="20.25" customHeight="1">
      <c r="B295" s="28"/>
      <c r="C295" s="20"/>
      <c r="D295" s="23"/>
      <c r="E295" s="23"/>
      <c r="F295" s="23"/>
      <c r="G295" s="23"/>
      <c r="H295" s="23"/>
      <c r="I295" s="23"/>
      <c r="J295" s="23"/>
      <c r="K295" s="23"/>
      <c r="L295" s="23"/>
      <c r="M295" s="24"/>
    </row>
    <row r="296" spans="2:13" ht="20.25" customHeight="1">
      <c r="B296" s="28"/>
      <c r="C296" s="20"/>
      <c r="D296" s="23"/>
      <c r="E296" s="23"/>
      <c r="F296" s="23"/>
      <c r="G296" s="23"/>
      <c r="H296" s="23"/>
      <c r="I296" s="23"/>
      <c r="J296" s="23"/>
      <c r="K296" s="23"/>
      <c r="L296" s="23"/>
      <c r="M296" s="24"/>
    </row>
    <row r="297" spans="2:13" ht="20.25" customHeight="1">
      <c r="B297" s="28"/>
      <c r="C297" s="20"/>
      <c r="D297" s="23"/>
      <c r="E297" s="23"/>
      <c r="F297" s="23"/>
      <c r="G297" s="23"/>
      <c r="H297" s="23"/>
      <c r="I297" s="23"/>
      <c r="J297" s="23"/>
      <c r="K297" s="23"/>
      <c r="L297" s="23"/>
      <c r="M297" s="24"/>
    </row>
    <row r="298" spans="2:13" ht="20.25" customHeight="1">
      <c r="B298" s="28"/>
      <c r="C298" s="20"/>
      <c r="D298" s="23"/>
      <c r="E298" s="23"/>
      <c r="F298" s="23"/>
      <c r="G298" s="23"/>
      <c r="H298" s="23"/>
      <c r="I298" s="23"/>
      <c r="J298" s="23"/>
      <c r="K298" s="23"/>
      <c r="L298" s="23"/>
      <c r="M298" s="24"/>
    </row>
    <row r="299" spans="2:13" ht="20.25" customHeight="1">
      <c r="B299" s="28"/>
      <c r="C299" s="20"/>
      <c r="D299" s="23"/>
      <c r="E299" s="23"/>
      <c r="F299" s="23"/>
      <c r="G299" s="23"/>
      <c r="H299" s="23"/>
      <c r="I299" s="23"/>
      <c r="J299" s="23"/>
      <c r="K299" s="23"/>
      <c r="L299" s="23"/>
      <c r="M299" s="24"/>
    </row>
    <row r="300" spans="2:13" ht="20.25" customHeight="1">
      <c r="B300" s="28"/>
      <c r="C300" s="20"/>
      <c r="D300" s="23"/>
      <c r="E300" s="23"/>
      <c r="F300" s="23"/>
      <c r="G300" s="23"/>
      <c r="H300" s="23"/>
      <c r="I300" s="23"/>
      <c r="J300" s="23"/>
      <c r="K300" s="23"/>
      <c r="L300" s="23"/>
      <c r="M300" s="24"/>
    </row>
    <row r="301" spans="2:13" ht="20.25" customHeight="1">
      <c r="B301" s="28"/>
      <c r="C301" s="20"/>
      <c r="D301" s="23"/>
      <c r="E301" s="23"/>
      <c r="F301" s="23"/>
      <c r="G301" s="23"/>
      <c r="H301" s="23"/>
      <c r="I301" s="23"/>
      <c r="J301" s="23"/>
      <c r="K301" s="23"/>
      <c r="L301" s="23"/>
      <c r="M301" s="24"/>
    </row>
    <row r="302" spans="2:13" ht="20.25" customHeight="1">
      <c r="B302" s="28"/>
      <c r="C302" s="20"/>
      <c r="D302" s="23"/>
      <c r="E302" s="23"/>
      <c r="F302" s="23"/>
      <c r="G302" s="23"/>
      <c r="H302" s="23"/>
      <c r="I302" s="23"/>
      <c r="J302" s="23"/>
      <c r="K302" s="23"/>
      <c r="L302" s="23"/>
      <c r="M302" s="24"/>
    </row>
    <row r="303" spans="2:13" ht="20.25" customHeight="1">
      <c r="B303" s="28"/>
      <c r="C303" s="20"/>
      <c r="D303" s="23"/>
      <c r="E303" s="23"/>
      <c r="F303" s="23"/>
      <c r="G303" s="23"/>
      <c r="H303" s="23"/>
      <c r="I303" s="23"/>
      <c r="J303" s="23"/>
      <c r="K303" s="23"/>
      <c r="L303" s="23"/>
      <c r="M303" s="24"/>
    </row>
    <row r="304" spans="2:13" ht="20.25" customHeight="1">
      <c r="B304" s="28"/>
      <c r="C304" s="20"/>
      <c r="D304" s="23"/>
      <c r="E304" s="23"/>
      <c r="F304" s="23"/>
      <c r="G304" s="23"/>
      <c r="H304" s="23"/>
      <c r="I304" s="23"/>
      <c r="J304" s="23"/>
      <c r="K304" s="23"/>
      <c r="L304" s="23"/>
      <c r="M304" s="24"/>
    </row>
    <row r="305" spans="2:13" ht="20.25" customHeight="1">
      <c r="B305" s="28"/>
      <c r="C305" s="20"/>
      <c r="D305" s="23"/>
      <c r="E305" s="23"/>
      <c r="F305" s="23"/>
      <c r="G305" s="23"/>
      <c r="H305" s="23"/>
      <c r="I305" s="23"/>
      <c r="J305" s="23"/>
      <c r="K305" s="23"/>
      <c r="L305" s="23"/>
      <c r="M305" s="24"/>
    </row>
    <row r="306" spans="2:13" ht="20.25" customHeight="1">
      <c r="B306" s="28"/>
      <c r="C306" s="20"/>
      <c r="D306" s="23"/>
      <c r="E306" s="23"/>
      <c r="F306" s="23"/>
      <c r="G306" s="23"/>
      <c r="H306" s="23"/>
      <c r="I306" s="23"/>
      <c r="J306" s="23"/>
      <c r="K306" s="23"/>
      <c r="L306" s="23"/>
      <c r="M306" s="24"/>
    </row>
    <row r="307" spans="2:13" ht="20.25" customHeight="1">
      <c r="B307" s="28"/>
      <c r="C307" s="20"/>
      <c r="D307" s="23"/>
      <c r="E307" s="23"/>
      <c r="F307" s="23"/>
      <c r="G307" s="23"/>
      <c r="H307" s="23"/>
      <c r="I307" s="23"/>
      <c r="J307" s="23"/>
      <c r="K307" s="23"/>
      <c r="L307" s="23"/>
      <c r="M307" s="24"/>
    </row>
    <row r="308" spans="2:13" ht="20.25" customHeight="1">
      <c r="B308" s="28"/>
      <c r="C308" s="20"/>
      <c r="D308" s="23"/>
      <c r="E308" s="23"/>
      <c r="F308" s="23"/>
      <c r="G308" s="23"/>
      <c r="H308" s="23"/>
      <c r="I308" s="23"/>
      <c r="J308" s="23"/>
      <c r="K308" s="23"/>
      <c r="L308" s="23"/>
      <c r="M308" s="24"/>
    </row>
    <row r="309" spans="2:13" ht="20.25" customHeight="1">
      <c r="B309" s="28"/>
      <c r="C309" s="20"/>
      <c r="D309" s="23"/>
      <c r="E309" s="23"/>
      <c r="F309" s="23"/>
      <c r="G309" s="23"/>
      <c r="H309" s="23"/>
      <c r="I309" s="23"/>
      <c r="J309" s="23"/>
      <c r="K309" s="23"/>
      <c r="L309" s="23"/>
      <c r="M309" s="24"/>
    </row>
    <row r="310" spans="2:13" ht="20.25" customHeight="1" thickBot="1">
      <c r="B310" s="47"/>
      <c r="C310" s="17"/>
      <c r="D310" s="80"/>
      <c r="E310" s="49"/>
      <c r="F310" s="49"/>
      <c r="G310" s="49"/>
      <c r="H310" s="49"/>
      <c r="I310" s="49"/>
      <c r="J310" s="49"/>
      <c r="K310" s="49"/>
      <c r="L310" s="49"/>
      <c r="M310" s="72"/>
    </row>
    <row r="311" spans="2:13" ht="15" thickBot="1"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</row>
    <row r="312" spans="2:13" ht="22.5" customHeight="1" thickBot="1">
      <c r="B312" s="51"/>
      <c r="C312" s="51"/>
      <c r="D312" s="51"/>
      <c r="E312" s="51"/>
      <c r="F312" s="9"/>
      <c r="G312" s="9"/>
      <c r="H312" s="9"/>
      <c r="I312" s="64" t="str">
        <f>I1</f>
        <v>生産技術三課</v>
      </c>
      <c r="J312" s="73"/>
      <c r="K312" s="1"/>
      <c r="L312" s="64" t="str">
        <f>"8/"&amp;$O3</f>
        <v>8/3</v>
      </c>
      <c r="M312" s="63" t="s">
        <v>9</v>
      </c>
    </row>
    <row r="313" spans="2:13" ht="20.25" customHeight="1">
      <c r="B313" s="118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119"/>
    </row>
    <row r="314" spans="2:13" ht="20.25" customHeight="1">
      <c r="B314" s="28"/>
      <c r="C314" s="20"/>
      <c r="D314" s="23"/>
      <c r="E314" s="23"/>
      <c r="F314" s="23"/>
      <c r="G314" s="23"/>
      <c r="H314" s="23"/>
      <c r="I314" s="23"/>
      <c r="J314" s="23"/>
      <c r="K314" s="23"/>
      <c r="L314" s="23"/>
      <c r="M314" s="24"/>
    </row>
    <row r="315" spans="2:13" ht="20.25" customHeight="1">
      <c r="B315" s="28"/>
      <c r="C315" s="20"/>
      <c r="D315" s="23"/>
      <c r="E315" s="23"/>
      <c r="F315" s="23"/>
      <c r="G315" s="23"/>
      <c r="H315" s="23"/>
      <c r="I315" s="23"/>
      <c r="J315" s="23"/>
      <c r="K315" s="23"/>
      <c r="L315" s="23"/>
      <c r="M315" s="24"/>
    </row>
    <row r="316" spans="2:13" ht="20.25" customHeight="1">
      <c r="B316" s="28"/>
      <c r="C316" s="20"/>
      <c r="D316" s="23"/>
      <c r="E316" s="23"/>
      <c r="F316" s="23"/>
      <c r="G316" s="23"/>
      <c r="H316" s="23"/>
      <c r="I316" s="23"/>
      <c r="J316" s="23"/>
      <c r="K316" s="23"/>
      <c r="L316" s="23"/>
      <c r="M316" s="24"/>
    </row>
    <row r="317" spans="2:13" ht="20.25" customHeight="1">
      <c r="B317" s="28"/>
      <c r="C317" s="20"/>
      <c r="D317" s="23"/>
      <c r="E317" s="23"/>
      <c r="F317" s="23"/>
      <c r="G317" s="23"/>
      <c r="H317" s="23"/>
      <c r="I317" s="23"/>
      <c r="J317" s="23"/>
      <c r="K317" s="23"/>
      <c r="L317" s="23"/>
      <c r="M317" s="24"/>
    </row>
    <row r="318" spans="2:13" ht="20.25" customHeight="1">
      <c r="B318" s="28"/>
      <c r="C318" s="20"/>
      <c r="D318" s="23"/>
      <c r="E318" s="30"/>
      <c r="F318" s="23"/>
      <c r="G318" s="23"/>
      <c r="H318" s="23"/>
      <c r="I318" s="23"/>
      <c r="J318" s="23"/>
      <c r="K318" s="23"/>
      <c r="L318" s="23"/>
      <c r="M318" s="24"/>
    </row>
    <row r="319" spans="2:13" ht="20.25" customHeight="1">
      <c r="B319" s="28"/>
      <c r="C319" s="20"/>
      <c r="D319" s="23"/>
      <c r="E319" s="23"/>
      <c r="F319" s="23"/>
      <c r="G319" s="23"/>
      <c r="H319" s="23"/>
      <c r="I319" s="23"/>
      <c r="J319" s="23"/>
      <c r="K319" s="23"/>
      <c r="L319" s="23"/>
      <c r="M319" s="24"/>
    </row>
    <row r="320" spans="2:13" ht="20.25" customHeight="1">
      <c r="B320" s="28"/>
      <c r="C320" s="20"/>
      <c r="D320" s="23"/>
      <c r="E320" s="23"/>
      <c r="F320" s="23"/>
      <c r="G320" s="23"/>
      <c r="H320" s="23"/>
      <c r="I320" s="23"/>
      <c r="J320" s="23"/>
      <c r="K320" s="23"/>
      <c r="L320" s="23"/>
      <c r="M320" s="24"/>
    </row>
    <row r="321" spans="2:13" ht="20.25" customHeight="1">
      <c r="B321" s="28"/>
      <c r="C321" s="20"/>
      <c r="D321" s="23"/>
      <c r="E321" s="23"/>
      <c r="F321" s="23"/>
      <c r="G321" s="23"/>
      <c r="H321" s="23"/>
      <c r="I321" s="23"/>
      <c r="J321" s="23"/>
      <c r="K321" s="23"/>
      <c r="L321" s="23"/>
      <c r="M321" s="24"/>
    </row>
    <row r="322" spans="2:13" ht="20.25" customHeight="1">
      <c r="B322" s="28"/>
      <c r="C322" s="20"/>
      <c r="D322" s="23"/>
      <c r="E322" s="23"/>
      <c r="F322" s="23"/>
      <c r="G322" s="23"/>
      <c r="H322" s="23"/>
      <c r="I322" s="23"/>
      <c r="J322" s="23"/>
      <c r="K322" s="23"/>
      <c r="L322" s="23"/>
      <c r="M322" s="24"/>
    </row>
    <row r="323" spans="2:13" ht="20.25" customHeight="1">
      <c r="B323" s="28"/>
      <c r="C323" s="20"/>
      <c r="D323" s="23"/>
      <c r="E323" s="23"/>
      <c r="F323" s="23"/>
      <c r="G323" s="23"/>
      <c r="H323" s="23"/>
      <c r="I323" s="23"/>
      <c r="J323" s="23"/>
      <c r="K323" s="23"/>
      <c r="L323" s="23"/>
      <c r="M323" s="24"/>
    </row>
    <row r="324" spans="2:13" ht="20.25" customHeight="1">
      <c r="B324" s="28"/>
      <c r="C324" s="20"/>
      <c r="D324" s="23"/>
      <c r="E324" s="23"/>
      <c r="F324" s="23"/>
      <c r="G324" s="23"/>
      <c r="H324" s="23"/>
      <c r="I324" s="23"/>
      <c r="J324" s="23"/>
      <c r="K324" s="23"/>
      <c r="L324" s="23"/>
      <c r="M324" s="24"/>
    </row>
    <row r="325" spans="2:13" ht="20.25" customHeight="1">
      <c r="B325" s="28"/>
      <c r="C325" s="20"/>
      <c r="D325" s="23"/>
      <c r="E325" s="23"/>
      <c r="F325" s="23"/>
      <c r="G325" s="23"/>
      <c r="H325" s="23"/>
      <c r="I325" s="23"/>
      <c r="J325" s="23"/>
      <c r="K325" s="23"/>
      <c r="L325" s="23"/>
      <c r="M325" s="24"/>
    </row>
    <row r="326" spans="2:13" ht="20.25" customHeight="1">
      <c r="B326" s="28"/>
      <c r="C326" s="20"/>
      <c r="D326" s="23"/>
      <c r="E326" s="23"/>
      <c r="F326" s="23"/>
      <c r="G326" s="23"/>
      <c r="H326" s="23"/>
      <c r="I326" s="23"/>
      <c r="J326" s="23"/>
      <c r="K326" s="23"/>
      <c r="L326" s="23"/>
      <c r="M326" s="24"/>
    </row>
    <row r="327" spans="2:13" ht="20.25" customHeight="1">
      <c r="B327" s="28"/>
      <c r="C327" s="20"/>
      <c r="D327" s="23"/>
      <c r="E327" s="23"/>
      <c r="F327" s="23"/>
      <c r="G327" s="23"/>
      <c r="H327" s="23"/>
      <c r="I327" s="23"/>
      <c r="J327" s="23"/>
      <c r="K327" s="23"/>
      <c r="L327" s="23"/>
      <c r="M327" s="24"/>
    </row>
    <row r="328" spans="2:13" ht="20.25" customHeight="1">
      <c r="B328" s="28"/>
      <c r="C328" s="20"/>
      <c r="D328" s="23"/>
      <c r="E328" s="23"/>
      <c r="F328" s="23"/>
      <c r="G328" s="23"/>
      <c r="H328" s="23"/>
      <c r="I328" s="23"/>
      <c r="J328" s="23"/>
      <c r="K328" s="23"/>
      <c r="L328" s="23"/>
      <c r="M328" s="24"/>
    </row>
    <row r="329" spans="2:13" ht="20.25" customHeight="1">
      <c r="B329" s="28"/>
      <c r="C329" s="20"/>
      <c r="D329" s="23"/>
      <c r="E329" s="23"/>
      <c r="F329" s="23"/>
      <c r="G329" s="23"/>
      <c r="H329" s="23"/>
      <c r="I329" s="23"/>
      <c r="J329" s="23"/>
      <c r="K329" s="23"/>
      <c r="L329" s="23"/>
      <c r="M329" s="24"/>
    </row>
    <row r="330" spans="2:13" ht="20.25" customHeight="1">
      <c r="B330" s="28"/>
      <c r="C330" s="20"/>
      <c r="D330" s="23"/>
      <c r="E330" s="23"/>
      <c r="F330" s="23"/>
      <c r="G330" s="23"/>
      <c r="H330" s="23"/>
      <c r="I330" s="23"/>
      <c r="J330" s="23"/>
      <c r="K330" s="23"/>
      <c r="L330" s="23"/>
      <c r="M330" s="24"/>
    </row>
    <row r="331" spans="2:13" ht="20.25" customHeight="1">
      <c r="B331" s="28"/>
      <c r="C331" s="20"/>
      <c r="D331" s="23"/>
      <c r="E331" s="23"/>
      <c r="F331" s="23"/>
      <c r="G331" s="23"/>
      <c r="H331" s="23"/>
      <c r="I331" s="23"/>
      <c r="J331" s="23"/>
      <c r="K331" s="23"/>
      <c r="L331" s="23"/>
      <c r="M331" s="24"/>
    </row>
    <row r="332" spans="2:13" ht="20.25" customHeight="1">
      <c r="B332" s="28"/>
      <c r="C332" s="20"/>
      <c r="D332" s="23"/>
      <c r="E332" s="23"/>
      <c r="F332" s="23"/>
      <c r="G332" s="23"/>
      <c r="H332" s="23"/>
      <c r="I332" s="23"/>
      <c r="J332" s="23"/>
      <c r="K332" s="23"/>
      <c r="L332" s="23"/>
      <c r="M332" s="24"/>
    </row>
    <row r="333" spans="2:13" ht="20.25" customHeight="1">
      <c r="B333" s="28"/>
      <c r="C333" s="20"/>
      <c r="D333" s="23"/>
      <c r="E333" s="23"/>
      <c r="F333" s="23"/>
      <c r="G333" s="23"/>
      <c r="H333" s="23"/>
      <c r="I333" s="23"/>
      <c r="J333" s="23"/>
      <c r="K333" s="23"/>
      <c r="L333" s="23"/>
      <c r="M333" s="24"/>
    </row>
    <row r="334" spans="2:13" ht="20.25" customHeight="1">
      <c r="B334" s="28"/>
      <c r="C334" s="20"/>
      <c r="D334" s="23"/>
      <c r="E334" s="23"/>
      <c r="F334" s="23"/>
      <c r="G334" s="23"/>
      <c r="H334" s="23"/>
      <c r="I334" s="23"/>
      <c r="J334" s="23"/>
      <c r="K334" s="23"/>
      <c r="L334" s="23"/>
      <c r="M334" s="24"/>
    </row>
    <row r="335" spans="2:13" ht="20.25" customHeight="1">
      <c r="B335" s="28"/>
      <c r="C335" s="20"/>
      <c r="D335" s="23"/>
      <c r="E335" s="23"/>
      <c r="F335" s="23"/>
      <c r="G335" s="23"/>
      <c r="H335" s="23"/>
      <c r="I335" s="23"/>
      <c r="J335" s="23"/>
      <c r="K335" s="23"/>
      <c r="L335" s="23"/>
      <c r="M335" s="24"/>
    </row>
    <row r="336" spans="2:13" ht="20.25" customHeight="1">
      <c r="B336" s="28"/>
      <c r="C336" s="20"/>
      <c r="D336" s="23"/>
      <c r="E336" s="23"/>
      <c r="F336" s="23"/>
      <c r="G336" s="23"/>
      <c r="H336" s="23"/>
      <c r="I336" s="23"/>
      <c r="J336" s="23"/>
      <c r="K336" s="23"/>
      <c r="L336" s="23"/>
      <c r="M336" s="24"/>
    </row>
    <row r="337" spans="2:13" ht="20.25" customHeight="1">
      <c r="B337" s="28"/>
      <c r="C337" s="20"/>
      <c r="D337" s="23"/>
      <c r="E337" s="23"/>
      <c r="F337" s="23"/>
      <c r="G337" s="23"/>
      <c r="H337" s="23"/>
      <c r="I337" s="23"/>
      <c r="J337" s="23"/>
      <c r="K337" s="23"/>
      <c r="L337" s="23"/>
      <c r="M337" s="24"/>
    </row>
    <row r="338" spans="2:13" ht="20.25" customHeight="1">
      <c r="B338" s="28"/>
      <c r="C338" s="20"/>
      <c r="D338" s="23"/>
      <c r="E338" s="23"/>
      <c r="F338" s="23"/>
      <c r="G338" s="23"/>
      <c r="H338" s="23"/>
      <c r="I338" s="23"/>
      <c r="J338" s="23"/>
      <c r="K338" s="23"/>
      <c r="L338" s="23"/>
      <c r="M338" s="24"/>
    </row>
    <row r="339" spans="2:13" ht="20.25" customHeight="1">
      <c r="B339" s="28"/>
      <c r="C339" s="20"/>
      <c r="D339" s="23"/>
      <c r="E339" s="23"/>
      <c r="F339" s="23"/>
      <c r="G339" s="23"/>
      <c r="H339" s="23"/>
      <c r="I339" s="23"/>
      <c r="J339" s="23"/>
      <c r="K339" s="23"/>
      <c r="L339" s="23"/>
      <c r="M339" s="24"/>
    </row>
    <row r="340" spans="2:13" ht="20.25" customHeight="1">
      <c r="B340" s="28"/>
      <c r="C340" s="20"/>
      <c r="D340" s="23"/>
      <c r="E340" s="23"/>
      <c r="F340" s="23"/>
      <c r="G340" s="23"/>
      <c r="H340" s="23"/>
      <c r="I340" s="23"/>
      <c r="J340" s="23"/>
      <c r="K340" s="23"/>
      <c r="L340" s="23"/>
      <c r="M340" s="24"/>
    </row>
    <row r="341" spans="2:13" ht="20.25" customHeight="1">
      <c r="B341" s="28"/>
      <c r="C341" s="20"/>
      <c r="D341" s="23"/>
      <c r="E341" s="23"/>
      <c r="F341" s="23"/>
      <c r="G341" s="23"/>
      <c r="H341" s="23"/>
      <c r="I341" s="23"/>
      <c r="J341" s="23"/>
      <c r="K341" s="23"/>
      <c r="L341" s="23"/>
      <c r="M341" s="24"/>
    </row>
    <row r="342" spans="2:13" ht="20.25" customHeight="1">
      <c r="B342" s="28"/>
      <c r="C342" s="20"/>
      <c r="D342" s="23"/>
      <c r="E342" s="23"/>
      <c r="F342" s="23"/>
      <c r="G342" s="23"/>
      <c r="H342" s="23"/>
      <c r="I342" s="23"/>
      <c r="J342" s="23"/>
      <c r="K342" s="23"/>
      <c r="L342" s="23"/>
      <c r="M342" s="24"/>
    </row>
    <row r="343" spans="2:13" ht="20.25" customHeight="1">
      <c r="B343" s="28"/>
      <c r="C343" s="20"/>
      <c r="D343" s="23"/>
      <c r="E343" s="23"/>
      <c r="F343" s="23"/>
      <c r="G343" s="23"/>
      <c r="H343" s="23"/>
      <c r="I343" s="23"/>
      <c r="J343" s="23"/>
      <c r="K343" s="23"/>
      <c r="L343" s="23"/>
      <c r="M343" s="24"/>
    </row>
    <row r="344" spans="2:13" ht="20.25" customHeight="1">
      <c r="B344" s="28"/>
      <c r="C344" s="20"/>
      <c r="D344" s="23"/>
      <c r="E344" s="23"/>
      <c r="F344" s="23"/>
      <c r="G344" s="23"/>
      <c r="H344" s="23"/>
      <c r="I344" s="23"/>
      <c r="J344" s="23"/>
      <c r="K344" s="23"/>
      <c r="L344" s="23"/>
      <c r="M344" s="24"/>
    </row>
    <row r="345" spans="2:13" ht="20.25" customHeight="1">
      <c r="B345" s="28"/>
      <c r="C345" s="20"/>
      <c r="D345" s="23"/>
      <c r="E345" s="23"/>
      <c r="F345" s="23"/>
      <c r="G345" s="23"/>
      <c r="H345" s="23"/>
      <c r="I345" s="23"/>
      <c r="J345" s="23"/>
      <c r="K345" s="23"/>
      <c r="L345" s="23"/>
      <c r="M345" s="24"/>
    </row>
    <row r="346" spans="2:13" ht="20.25" customHeight="1">
      <c r="B346" s="28"/>
      <c r="C346" s="20"/>
      <c r="D346" s="23"/>
      <c r="E346" s="23"/>
      <c r="F346" s="23"/>
      <c r="G346" s="23"/>
      <c r="H346" s="23"/>
      <c r="I346" s="23"/>
      <c r="J346" s="23"/>
      <c r="K346" s="23"/>
      <c r="L346" s="23"/>
      <c r="M346" s="24"/>
    </row>
    <row r="347" spans="2:13" ht="20.25" customHeight="1">
      <c r="B347" s="28"/>
      <c r="C347" s="20"/>
      <c r="D347" s="23"/>
      <c r="E347" s="23"/>
      <c r="F347" s="23"/>
      <c r="G347" s="23"/>
      <c r="H347" s="23"/>
      <c r="I347" s="23"/>
      <c r="J347" s="23"/>
      <c r="K347" s="23"/>
      <c r="L347" s="23"/>
      <c r="M347" s="24"/>
    </row>
    <row r="348" spans="2:13" ht="20.25" customHeight="1">
      <c r="B348" s="28"/>
      <c r="C348" s="20"/>
      <c r="D348" s="23"/>
      <c r="E348" s="23"/>
      <c r="F348" s="23"/>
      <c r="G348" s="23"/>
      <c r="H348" s="23"/>
      <c r="I348" s="23"/>
      <c r="J348" s="23"/>
      <c r="K348" s="23"/>
      <c r="L348" s="23"/>
      <c r="M348" s="24"/>
    </row>
    <row r="349" spans="2:13" ht="20.25" customHeight="1">
      <c r="B349" s="28"/>
      <c r="C349" s="20"/>
      <c r="D349" s="23"/>
      <c r="E349" s="23"/>
      <c r="F349" s="23"/>
      <c r="G349" s="23"/>
      <c r="H349" s="23"/>
      <c r="I349" s="23"/>
      <c r="J349" s="23"/>
      <c r="K349" s="23"/>
      <c r="L349" s="23"/>
      <c r="M349" s="24"/>
    </row>
    <row r="350" spans="2:13" ht="20.25" customHeight="1">
      <c r="B350" s="28"/>
      <c r="C350" s="20"/>
      <c r="D350" s="23"/>
      <c r="E350" s="23"/>
      <c r="F350" s="23"/>
      <c r="G350" s="23"/>
      <c r="H350" s="23"/>
      <c r="I350" s="23"/>
      <c r="J350" s="23"/>
      <c r="K350" s="23"/>
      <c r="L350" s="23"/>
      <c r="M350" s="24"/>
    </row>
    <row r="351" spans="2:13" ht="20.25" customHeight="1">
      <c r="B351" s="28"/>
      <c r="C351" s="20"/>
      <c r="D351" s="23"/>
      <c r="E351" s="23"/>
      <c r="F351" s="23"/>
      <c r="G351" s="23"/>
      <c r="H351" s="23"/>
      <c r="I351" s="23"/>
      <c r="J351" s="23"/>
      <c r="K351" s="23"/>
      <c r="L351" s="23"/>
      <c r="M351" s="24"/>
    </row>
    <row r="352" spans="2:13" ht="20.25" customHeight="1">
      <c r="B352" s="28"/>
      <c r="C352" s="20"/>
      <c r="D352" s="23"/>
      <c r="E352" s="23"/>
      <c r="F352" s="23"/>
      <c r="G352" s="23"/>
      <c r="H352" s="23"/>
      <c r="I352" s="23"/>
      <c r="J352" s="23"/>
      <c r="K352" s="23"/>
      <c r="L352" s="23"/>
      <c r="M352" s="24"/>
    </row>
    <row r="353" spans="2:13" ht="20.25" customHeight="1">
      <c r="B353" s="28"/>
      <c r="C353" s="20"/>
      <c r="D353" s="23"/>
      <c r="E353" s="23"/>
      <c r="F353" s="23"/>
      <c r="G353" s="23"/>
      <c r="H353" s="23"/>
      <c r="I353" s="23"/>
      <c r="J353" s="23"/>
      <c r="K353" s="23"/>
      <c r="L353" s="23"/>
      <c r="M353" s="24"/>
    </row>
    <row r="354" spans="2:13" ht="20.25" customHeight="1">
      <c r="B354" s="28"/>
      <c r="C354" s="20"/>
      <c r="D354" s="23"/>
      <c r="E354" s="23"/>
      <c r="F354" s="23"/>
      <c r="G354" s="23"/>
      <c r="H354" s="23"/>
      <c r="I354" s="23"/>
      <c r="J354" s="23"/>
      <c r="K354" s="23"/>
      <c r="L354" s="23"/>
      <c r="M354" s="24"/>
    </row>
    <row r="355" spans="2:13" ht="20.25" customHeight="1" thickBot="1">
      <c r="B355" s="47"/>
      <c r="C355" s="17"/>
      <c r="D355" s="80"/>
      <c r="E355" s="49"/>
      <c r="F355" s="49"/>
      <c r="G355" s="49"/>
      <c r="H355" s="49"/>
      <c r="I355" s="49"/>
      <c r="J355" s="49"/>
      <c r="K355" s="49"/>
      <c r="L355" s="49"/>
      <c r="M355" s="72"/>
    </row>
    <row r="356" spans="2:13" ht="15" customHeight="1" thickBot="1"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</row>
    <row r="357" spans="2:13" ht="22.5" customHeight="1" thickBot="1">
      <c r="B357" s="51"/>
      <c r="C357" s="51"/>
      <c r="D357" s="51"/>
      <c r="E357" s="51"/>
      <c r="F357" s="9"/>
      <c r="G357" s="9"/>
      <c r="H357" s="9"/>
      <c r="I357" s="64" t="str">
        <f>I1</f>
        <v>生産技術三課</v>
      </c>
      <c r="J357" s="73"/>
      <c r="K357" s="1"/>
      <c r="L357" s="64" t="str">
        <f>"9/"&amp;$O3</f>
        <v>9/3</v>
      </c>
      <c r="M357" s="63" t="s">
        <v>9</v>
      </c>
    </row>
    <row r="358" spans="2:13" ht="20.25" customHeight="1">
      <c r="B358" s="118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119"/>
    </row>
    <row r="359" spans="2:13" ht="20.25" customHeight="1">
      <c r="B359" s="28"/>
      <c r="C359" s="20"/>
      <c r="D359" s="23"/>
      <c r="E359" s="23"/>
      <c r="F359" s="23"/>
      <c r="G359" s="23"/>
      <c r="H359" s="23"/>
      <c r="I359" s="23"/>
      <c r="J359" s="23"/>
      <c r="K359" s="23"/>
      <c r="L359" s="23"/>
      <c r="M359" s="24"/>
    </row>
    <row r="360" spans="2:13" ht="20.25" customHeight="1">
      <c r="B360" s="28"/>
      <c r="C360" s="20"/>
      <c r="D360" s="23"/>
      <c r="E360" s="23"/>
      <c r="F360" s="23"/>
      <c r="G360" s="23"/>
      <c r="H360" s="23"/>
      <c r="I360" s="23"/>
      <c r="J360" s="23"/>
      <c r="K360" s="23"/>
      <c r="L360" s="23"/>
      <c r="M360" s="24"/>
    </row>
    <row r="361" spans="2:13" ht="20.25" customHeight="1">
      <c r="B361" s="28"/>
      <c r="C361" s="20"/>
      <c r="D361" s="23"/>
      <c r="E361" s="23"/>
      <c r="F361" s="23"/>
      <c r="G361" s="23"/>
      <c r="H361" s="23"/>
      <c r="I361" s="23"/>
      <c r="J361" s="23"/>
      <c r="K361" s="23"/>
      <c r="L361" s="23"/>
      <c r="M361" s="24"/>
    </row>
    <row r="362" spans="2:13" ht="20.25" customHeight="1">
      <c r="B362" s="28"/>
      <c r="C362" s="20"/>
      <c r="D362" s="23"/>
      <c r="E362" s="23"/>
      <c r="F362" s="23"/>
      <c r="G362" s="23"/>
      <c r="H362" s="23"/>
      <c r="I362" s="23"/>
      <c r="J362" s="23"/>
      <c r="K362" s="23"/>
      <c r="L362" s="23"/>
      <c r="M362" s="24"/>
    </row>
    <row r="363" spans="2:13" ht="20.25" customHeight="1">
      <c r="B363" s="28"/>
      <c r="C363" s="20"/>
      <c r="D363" s="23"/>
      <c r="E363" s="30"/>
      <c r="F363" s="23"/>
      <c r="G363" s="23"/>
      <c r="H363" s="23"/>
      <c r="I363" s="23"/>
      <c r="J363" s="23"/>
      <c r="K363" s="23"/>
      <c r="L363" s="23"/>
      <c r="M363" s="24"/>
    </row>
    <row r="364" spans="2:13" ht="20.25" customHeight="1">
      <c r="B364" s="28"/>
      <c r="C364" s="20"/>
      <c r="D364" s="23"/>
      <c r="E364" s="23"/>
      <c r="F364" s="23"/>
      <c r="G364" s="23"/>
      <c r="H364" s="23"/>
      <c r="I364" s="23"/>
      <c r="J364" s="23"/>
      <c r="K364" s="23"/>
      <c r="L364" s="23"/>
      <c r="M364" s="24"/>
    </row>
    <row r="365" spans="2:13" ht="20.25" customHeight="1">
      <c r="B365" s="28"/>
      <c r="C365" s="20"/>
      <c r="D365" s="23"/>
      <c r="E365" s="23"/>
      <c r="F365" s="23"/>
      <c r="G365" s="23"/>
      <c r="H365" s="23"/>
      <c r="I365" s="23"/>
      <c r="J365" s="23"/>
      <c r="K365" s="23"/>
      <c r="L365" s="23"/>
      <c r="M365" s="24"/>
    </row>
    <row r="366" spans="2:13" ht="20.25" customHeight="1">
      <c r="B366" s="28"/>
      <c r="C366" s="20"/>
      <c r="D366" s="23"/>
      <c r="E366" s="23"/>
      <c r="F366" s="23"/>
      <c r="G366" s="23"/>
      <c r="H366" s="23"/>
      <c r="I366" s="23"/>
      <c r="J366" s="23"/>
      <c r="K366" s="23"/>
      <c r="L366" s="23"/>
      <c r="M366" s="24"/>
    </row>
    <row r="367" spans="2:13" ht="20.25" customHeight="1">
      <c r="B367" s="28"/>
      <c r="C367" s="20"/>
      <c r="D367" s="23"/>
      <c r="E367" s="23"/>
      <c r="F367" s="23"/>
      <c r="G367" s="23"/>
      <c r="H367" s="23"/>
      <c r="I367" s="23"/>
      <c r="J367" s="23"/>
      <c r="K367" s="23"/>
      <c r="L367" s="23"/>
      <c r="M367" s="24"/>
    </row>
    <row r="368" spans="2:13" ht="20.25" customHeight="1">
      <c r="B368" s="28"/>
      <c r="C368" s="20"/>
      <c r="D368" s="23"/>
      <c r="E368" s="23"/>
      <c r="F368" s="23"/>
      <c r="G368" s="23"/>
      <c r="H368" s="23"/>
      <c r="I368" s="23"/>
      <c r="J368" s="23"/>
      <c r="K368" s="23"/>
      <c r="L368" s="23"/>
      <c r="M368" s="24"/>
    </row>
    <row r="369" spans="2:13" ht="20.25" customHeight="1">
      <c r="B369" s="28"/>
      <c r="C369" s="20"/>
      <c r="D369" s="23"/>
      <c r="E369" s="23"/>
      <c r="F369" s="23"/>
      <c r="G369" s="23"/>
      <c r="H369" s="23"/>
      <c r="I369" s="23"/>
      <c r="J369" s="23"/>
      <c r="K369" s="23"/>
      <c r="L369" s="23"/>
      <c r="M369" s="24"/>
    </row>
    <row r="370" spans="2:13" ht="20.25" customHeight="1">
      <c r="B370" s="28"/>
      <c r="C370" s="20"/>
      <c r="D370" s="23"/>
      <c r="E370" s="23"/>
      <c r="F370" s="23"/>
      <c r="G370" s="23"/>
      <c r="H370" s="23"/>
      <c r="I370" s="23"/>
      <c r="J370" s="23"/>
      <c r="K370" s="23"/>
      <c r="L370" s="23"/>
      <c r="M370" s="24"/>
    </row>
    <row r="371" spans="2:13" ht="20.25" customHeight="1">
      <c r="B371" s="28"/>
      <c r="C371" s="20"/>
      <c r="D371" s="23"/>
      <c r="E371" s="23"/>
      <c r="F371" s="23"/>
      <c r="G371" s="23"/>
      <c r="H371" s="23"/>
      <c r="I371" s="23"/>
      <c r="J371" s="23"/>
      <c r="K371" s="23"/>
      <c r="L371" s="23"/>
      <c r="M371" s="24"/>
    </row>
    <row r="372" spans="2:13" ht="20.25" customHeight="1">
      <c r="B372" s="28"/>
      <c r="C372" s="20"/>
      <c r="D372" s="23"/>
      <c r="E372" s="23"/>
      <c r="F372" s="23"/>
      <c r="G372" s="23"/>
      <c r="H372" s="23"/>
      <c r="I372" s="23"/>
      <c r="J372" s="23"/>
      <c r="K372" s="23"/>
      <c r="L372" s="23"/>
      <c r="M372" s="24"/>
    </row>
    <row r="373" spans="2:13" ht="20.25" customHeight="1">
      <c r="B373" s="28"/>
      <c r="C373" s="20"/>
      <c r="D373" s="23"/>
      <c r="E373" s="23"/>
      <c r="F373" s="23"/>
      <c r="G373" s="23"/>
      <c r="H373" s="23"/>
      <c r="I373" s="23"/>
      <c r="J373" s="23"/>
      <c r="K373" s="23"/>
      <c r="L373" s="23"/>
      <c r="M373" s="24"/>
    </row>
    <row r="374" spans="2:13" ht="20.25" customHeight="1">
      <c r="B374" s="28"/>
      <c r="C374" s="20"/>
      <c r="D374" s="23"/>
      <c r="E374" s="23"/>
      <c r="F374" s="23"/>
      <c r="G374" s="23"/>
      <c r="H374" s="23"/>
      <c r="I374" s="23"/>
      <c r="J374" s="23"/>
      <c r="K374" s="23"/>
      <c r="L374" s="23"/>
      <c r="M374" s="24"/>
    </row>
    <row r="375" spans="2:13" ht="20.25" customHeight="1">
      <c r="B375" s="28"/>
      <c r="C375" s="20"/>
      <c r="D375" s="23"/>
      <c r="E375" s="23"/>
      <c r="F375" s="23"/>
      <c r="G375" s="23"/>
      <c r="H375" s="23"/>
      <c r="I375" s="23"/>
      <c r="J375" s="23"/>
      <c r="K375" s="23"/>
      <c r="L375" s="23"/>
      <c r="M375" s="24"/>
    </row>
    <row r="376" spans="2:13" ht="20.25" customHeight="1">
      <c r="B376" s="28"/>
      <c r="C376" s="20"/>
      <c r="D376" s="23"/>
      <c r="E376" s="23"/>
      <c r="F376" s="23"/>
      <c r="G376" s="23"/>
      <c r="H376" s="23"/>
      <c r="I376" s="23"/>
      <c r="J376" s="23"/>
      <c r="K376" s="23"/>
      <c r="L376" s="23"/>
      <c r="M376" s="24"/>
    </row>
    <row r="377" spans="2:13" ht="20.25" customHeight="1">
      <c r="B377" s="28"/>
      <c r="C377" s="20"/>
      <c r="D377" s="23"/>
      <c r="E377" s="23"/>
      <c r="F377" s="23"/>
      <c r="G377" s="23"/>
      <c r="H377" s="23"/>
      <c r="I377" s="23"/>
      <c r="J377" s="23"/>
      <c r="K377" s="23"/>
      <c r="L377" s="23"/>
      <c r="M377" s="24"/>
    </row>
    <row r="378" spans="2:13" ht="20.25" customHeight="1">
      <c r="B378" s="28"/>
      <c r="C378" s="20"/>
      <c r="D378" s="23"/>
      <c r="E378" s="23"/>
      <c r="F378" s="23"/>
      <c r="G378" s="23"/>
      <c r="H378" s="23"/>
      <c r="I378" s="23"/>
      <c r="J378" s="23"/>
      <c r="K378" s="23"/>
      <c r="L378" s="23"/>
      <c r="M378" s="24"/>
    </row>
    <row r="379" spans="2:13" ht="20.25" customHeight="1">
      <c r="B379" s="28"/>
      <c r="C379" s="20"/>
      <c r="D379" s="23"/>
      <c r="E379" s="23"/>
      <c r="F379" s="23"/>
      <c r="G379" s="23"/>
      <c r="H379" s="23"/>
      <c r="I379" s="23"/>
      <c r="J379" s="23"/>
      <c r="K379" s="23"/>
      <c r="L379" s="23"/>
      <c r="M379" s="24"/>
    </row>
    <row r="380" spans="2:13" ht="20.25" customHeight="1">
      <c r="B380" s="28"/>
      <c r="C380" s="20"/>
      <c r="D380" s="23"/>
      <c r="E380" s="23"/>
      <c r="F380" s="23"/>
      <c r="G380" s="23"/>
      <c r="H380" s="23"/>
      <c r="I380" s="23"/>
      <c r="J380" s="23"/>
      <c r="K380" s="23"/>
      <c r="L380" s="23"/>
      <c r="M380" s="24"/>
    </row>
    <row r="381" spans="2:13" ht="20.25" customHeight="1">
      <c r="B381" s="28"/>
      <c r="C381" s="20"/>
      <c r="D381" s="23"/>
      <c r="E381" s="23"/>
      <c r="F381" s="23"/>
      <c r="G381" s="23"/>
      <c r="H381" s="23"/>
      <c r="I381" s="23"/>
      <c r="J381" s="23"/>
      <c r="K381" s="23"/>
      <c r="L381" s="23"/>
      <c r="M381" s="24"/>
    </row>
    <row r="382" spans="2:13" ht="20.25" customHeight="1">
      <c r="B382" s="28"/>
      <c r="C382" s="20"/>
      <c r="D382" s="23"/>
      <c r="E382" s="23"/>
      <c r="F382" s="23"/>
      <c r="G382" s="23"/>
      <c r="H382" s="23"/>
      <c r="I382" s="23"/>
      <c r="J382" s="23"/>
      <c r="K382" s="23"/>
      <c r="L382" s="23"/>
      <c r="M382" s="24"/>
    </row>
    <row r="383" spans="2:13" ht="20.25" customHeight="1">
      <c r="B383" s="28"/>
      <c r="C383" s="20"/>
      <c r="D383" s="23"/>
      <c r="E383" s="23"/>
      <c r="F383" s="23"/>
      <c r="G383" s="23"/>
      <c r="H383" s="23"/>
      <c r="I383" s="23"/>
      <c r="J383" s="23"/>
      <c r="K383" s="23"/>
      <c r="L383" s="23"/>
      <c r="M383" s="24"/>
    </row>
    <row r="384" spans="2:13" ht="20.25" customHeight="1">
      <c r="B384" s="28"/>
      <c r="C384" s="20"/>
      <c r="D384" s="23"/>
      <c r="E384" s="23"/>
      <c r="F384" s="23"/>
      <c r="G384" s="23"/>
      <c r="H384" s="23"/>
      <c r="I384" s="23"/>
      <c r="J384" s="23"/>
      <c r="K384" s="23"/>
      <c r="L384" s="23"/>
      <c r="M384" s="24"/>
    </row>
    <row r="385" spans="2:13" ht="20.25" customHeight="1">
      <c r="B385" s="28"/>
      <c r="C385" s="20"/>
      <c r="D385" s="23"/>
      <c r="E385" s="23"/>
      <c r="F385" s="23"/>
      <c r="G385" s="23"/>
      <c r="H385" s="23"/>
      <c r="I385" s="23"/>
      <c r="J385" s="23"/>
      <c r="K385" s="23"/>
      <c r="L385" s="23"/>
      <c r="M385" s="24"/>
    </row>
    <row r="386" spans="2:13" ht="20.25" customHeight="1">
      <c r="B386" s="28"/>
      <c r="C386" s="20"/>
      <c r="D386" s="23"/>
      <c r="E386" s="23"/>
      <c r="F386" s="23"/>
      <c r="G386" s="23"/>
      <c r="H386" s="23"/>
      <c r="I386" s="23"/>
      <c r="J386" s="23"/>
      <c r="K386" s="23"/>
      <c r="L386" s="23"/>
      <c r="M386" s="24"/>
    </row>
    <row r="387" spans="2:13" ht="20.25" customHeight="1">
      <c r="B387" s="28"/>
      <c r="C387" s="20"/>
      <c r="D387" s="23"/>
      <c r="E387" s="23"/>
      <c r="F387" s="23"/>
      <c r="G387" s="23"/>
      <c r="H387" s="23"/>
      <c r="I387" s="23"/>
      <c r="J387" s="23"/>
      <c r="K387" s="23"/>
      <c r="L387" s="23"/>
      <c r="M387" s="24"/>
    </row>
    <row r="388" spans="2:13" ht="20.25" customHeight="1">
      <c r="B388" s="28"/>
      <c r="C388" s="20"/>
      <c r="D388" s="23"/>
      <c r="E388" s="23"/>
      <c r="F388" s="23"/>
      <c r="G388" s="23"/>
      <c r="H388" s="23"/>
      <c r="I388" s="23"/>
      <c r="J388" s="23"/>
      <c r="K388" s="23"/>
      <c r="L388" s="23"/>
      <c r="M388" s="24"/>
    </row>
    <row r="389" spans="2:13" ht="20.25" customHeight="1">
      <c r="B389" s="28"/>
      <c r="C389" s="20"/>
      <c r="D389" s="23"/>
      <c r="E389" s="23"/>
      <c r="F389" s="23"/>
      <c r="G389" s="23"/>
      <c r="H389" s="23"/>
      <c r="I389" s="23"/>
      <c r="J389" s="23"/>
      <c r="K389" s="23"/>
      <c r="L389" s="23"/>
      <c r="M389" s="24"/>
    </row>
    <row r="390" spans="2:13" ht="20.25" customHeight="1">
      <c r="B390" s="28"/>
      <c r="C390" s="20"/>
      <c r="D390" s="23"/>
      <c r="E390" s="23"/>
      <c r="F390" s="23"/>
      <c r="G390" s="23"/>
      <c r="H390" s="23"/>
      <c r="I390" s="23"/>
      <c r="J390" s="23"/>
      <c r="K390" s="23"/>
      <c r="L390" s="23"/>
      <c r="M390" s="24"/>
    </row>
    <row r="391" spans="2:13" ht="20.25" customHeight="1">
      <c r="B391" s="28"/>
      <c r="C391" s="20"/>
      <c r="D391" s="23"/>
      <c r="E391" s="23"/>
      <c r="F391" s="23"/>
      <c r="G391" s="23"/>
      <c r="H391" s="23"/>
      <c r="I391" s="23"/>
      <c r="J391" s="23"/>
      <c r="K391" s="23"/>
      <c r="L391" s="23"/>
      <c r="M391" s="24"/>
    </row>
    <row r="392" spans="2:13" ht="20.25" customHeight="1">
      <c r="B392" s="28"/>
      <c r="C392" s="20"/>
      <c r="D392" s="23"/>
      <c r="E392" s="23"/>
      <c r="F392" s="23"/>
      <c r="G392" s="23"/>
      <c r="H392" s="23"/>
      <c r="I392" s="23"/>
      <c r="J392" s="23"/>
      <c r="K392" s="23"/>
      <c r="L392" s="23"/>
      <c r="M392" s="24"/>
    </row>
    <row r="393" spans="2:13" ht="20.25" customHeight="1">
      <c r="B393" s="28"/>
      <c r="C393" s="20"/>
      <c r="D393" s="23"/>
      <c r="E393" s="23"/>
      <c r="F393" s="23"/>
      <c r="G393" s="23"/>
      <c r="H393" s="23"/>
      <c r="I393" s="23"/>
      <c r="J393" s="23"/>
      <c r="K393" s="23"/>
      <c r="L393" s="23"/>
      <c r="M393" s="24"/>
    </row>
    <row r="394" spans="2:13" ht="20.25" customHeight="1">
      <c r="B394" s="28"/>
      <c r="C394" s="20"/>
      <c r="D394" s="23"/>
      <c r="E394" s="23"/>
      <c r="F394" s="23"/>
      <c r="G394" s="23"/>
      <c r="H394" s="23"/>
      <c r="I394" s="23"/>
      <c r="J394" s="23"/>
      <c r="K394" s="23"/>
      <c r="L394" s="23"/>
      <c r="M394" s="24"/>
    </row>
    <row r="395" spans="2:13" ht="20.25" customHeight="1">
      <c r="B395" s="28"/>
      <c r="C395" s="20"/>
      <c r="D395" s="23"/>
      <c r="E395" s="23"/>
      <c r="F395" s="23"/>
      <c r="G395" s="23"/>
      <c r="H395" s="23"/>
      <c r="I395" s="23"/>
      <c r="J395" s="23"/>
      <c r="K395" s="23"/>
      <c r="L395" s="23"/>
      <c r="M395" s="24"/>
    </row>
    <row r="396" spans="2:13" ht="20.25" customHeight="1">
      <c r="B396" s="28"/>
      <c r="C396" s="20"/>
      <c r="D396" s="23"/>
      <c r="E396" s="23"/>
      <c r="F396" s="23"/>
      <c r="G396" s="23"/>
      <c r="H396" s="23"/>
      <c r="I396" s="23"/>
      <c r="J396" s="23"/>
      <c r="K396" s="23"/>
      <c r="L396" s="23"/>
      <c r="M396" s="24"/>
    </row>
    <row r="397" spans="2:13" ht="20.25" customHeight="1">
      <c r="B397" s="28"/>
      <c r="C397" s="20"/>
      <c r="D397" s="23"/>
      <c r="E397" s="23"/>
      <c r="F397" s="23"/>
      <c r="G397" s="23"/>
      <c r="H397" s="23"/>
      <c r="I397" s="23"/>
      <c r="J397" s="23"/>
      <c r="K397" s="23"/>
      <c r="L397" s="23"/>
      <c r="M397" s="24"/>
    </row>
    <row r="398" spans="2:13" ht="20.25" customHeight="1">
      <c r="B398" s="28"/>
      <c r="C398" s="20"/>
      <c r="D398" s="23"/>
      <c r="E398" s="23"/>
      <c r="F398" s="23"/>
      <c r="G398" s="23"/>
      <c r="H398" s="23"/>
      <c r="I398" s="23"/>
      <c r="J398" s="23"/>
      <c r="K398" s="23"/>
      <c r="L398" s="23"/>
      <c r="M398" s="24"/>
    </row>
    <row r="399" spans="2:13" ht="20.25" customHeight="1">
      <c r="B399" s="28"/>
      <c r="C399" s="20"/>
      <c r="D399" s="23"/>
      <c r="E399" s="23"/>
      <c r="F399" s="23"/>
      <c r="G399" s="23"/>
      <c r="H399" s="23"/>
      <c r="I399" s="23"/>
      <c r="J399" s="23"/>
      <c r="K399" s="23"/>
      <c r="L399" s="23"/>
      <c r="M399" s="24"/>
    </row>
    <row r="400" spans="2:13" ht="20.25" customHeight="1" thickBot="1">
      <c r="B400" s="47"/>
      <c r="C400" s="17"/>
      <c r="D400" s="80"/>
      <c r="E400" s="49"/>
      <c r="F400" s="49"/>
      <c r="G400" s="49"/>
      <c r="H400" s="49"/>
      <c r="I400" s="49"/>
      <c r="J400" s="49"/>
      <c r="K400" s="49"/>
      <c r="L400" s="49"/>
      <c r="M400" s="72"/>
    </row>
    <row r="401" spans="2:13" ht="15" thickBot="1"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</row>
    <row r="402" spans="2:13" ht="22.5" customHeight="1" thickBot="1">
      <c r="B402" s="51"/>
      <c r="C402" s="51"/>
      <c r="D402" s="51"/>
      <c r="E402" s="51"/>
      <c r="F402" s="9"/>
      <c r="G402" s="9"/>
      <c r="H402" s="9"/>
      <c r="I402" s="64" t="str">
        <f>I1</f>
        <v>生産技術三課</v>
      </c>
      <c r="J402" s="73"/>
      <c r="K402" s="1"/>
      <c r="L402" s="64" t="str">
        <f>"10/"&amp;$O3</f>
        <v>10/3</v>
      </c>
      <c r="M402" s="63" t="s">
        <v>9</v>
      </c>
    </row>
    <row r="403" spans="2:13" ht="20.25" customHeight="1">
      <c r="B403" s="118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119"/>
    </row>
    <row r="404" spans="2:13" ht="20.25" customHeight="1">
      <c r="B404" s="28"/>
      <c r="C404" s="20"/>
      <c r="D404" s="23"/>
      <c r="E404" s="23"/>
      <c r="F404" s="23"/>
      <c r="G404" s="23"/>
      <c r="H404" s="23"/>
      <c r="I404" s="23"/>
      <c r="J404" s="23"/>
      <c r="K404" s="23"/>
      <c r="L404" s="23"/>
      <c r="M404" s="24"/>
    </row>
    <row r="405" spans="2:13" ht="20.25" customHeight="1">
      <c r="B405" s="28"/>
      <c r="C405" s="20"/>
      <c r="D405" s="23"/>
      <c r="E405" s="23"/>
      <c r="F405" s="23"/>
      <c r="G405" s="23"/>
      <c r="H405" s="23"/>
      <c r="I405" s="23"/>
      <c r="J405" s="23"/>
      <c r="K405" s="23"/>
      <c r="L405" s="23"/>
      <c r="M405" s="24"/>
    </row>
    <row r="406" spans="2:13" ht="20.25" customHeight="1">
      <c r="B406" s="28"/>
      <c r="C406" s="20"/>
      <c r="D406" s="23"/>
      <c r="E406" s="23"/>
      <c r="F406" s="23"/>
      <c r="G406" s="23"/>
      <c r="H406" s="23"/>
      <c r="I406" s="23"/>
      <c r="J406" s="23"/>
      <c r="K406" s="23"/>
      <c r="L406" s="23"/>
      <c r="M406" s="24"/>
    </row>
    <row r="407" spans="2:13" ht="20.25" customHeight="1">
      <c r="B407" s="28"/>
      <c r="C407" s="20"/>
      <c r="D407" s="23"/>
      <c r="E407" s="23"/>
      <c r="F407" s="23"/>
      <c r="G407" s="23"/>
      <c r="H407" s="23"/>
      <c r="I407" s="23"/>
      <c r="J407" s="23"/>
      <c r="K407" s="23"/>
      <c r="L407" s="23"/>
      <c r="M407" s="24"/>
    </row>
    <row r="408" spans="2:13" ht="20.25" customHeight="1">
      <c r="B408" s="28"/>
      <c r="C408" s="20"/>
      <c r="D408" s="23"/>
      <c r="E408" s="30"/>
      <c r="F408" s="23"/>
      <c r="G408" s="23"/>
      <c r="H408" s="23"/>
      <c r="I408" s="23"/>
      <c r="J408" s="23"/>
      <c r="K408" s="23"/>
      <c r="L408" s="23"/>
      <c r="M408" s="24"/>
    </row>
    <row r="409" spans="2:13" ht="20.25" customHeight="1">
      <c r="B409" s="28"/>
      <c r="C409" s="20"/>
      <c r="D409" s="23"/>
      <c r="E409" s="23"/>
      <c r="F409" s="23"/>
      <c r="G409" s="23"/>
      <c r="H409" s="23"/>
      <c r="I409" s="23"/>
      <c r="J409" s="23"/>
      <c r="K409" s="23"/>
      <c r="L409" s="23"/>
      <c r="M409" s="24"/>
    </row>
    <row r="410" spans="2:13" ht="20.25" customHeight="1">
      <c r="B410" s="28"/>
      <c r="C410" s="20"/>
      <c r="D410" s="23"/>
      <c r="E410" s="23"/>
      <c r="F410" s="23"/>
      <c r="G410" s="23"/>
      <c r="H410" s="23"/>
      <c r="I410" s="23"/>
      <c r="J410" s="23"/>
      <c r="K410" s="23"/>
      <c r="L410" s="23"/>
      <c r="M410" s="24"/>
    </row>
    <row r="411" spans="2:13" ht="20.25" customHeight="1">
      <c r="B411" s="28"/>
      <c r="C411" s="20"/>
      <c r="D411" s="23"/>
      <c r="E411" s="23"/>
      <c r="F411" s="23"/>
      <c r="G411" s="23"/>
      <c r="H411" s="23"/>
      <c r="I411" s="23"/>
      <c r="J411" s="23"/>
      <c r="K411" s="23"/>
      <c r="L411" s="23"/>
      <c r="M411" s="24"/>
    </row>
    <row r="412" spans="2:13" ht="20.25" customHeight="1">
      <c r="B412" s="28"/>
      <c r="C412" s="20"/>
      <c r="D412" s="23"/>
      <c r="E412" s="23"/>
      <c r="F412" s="23"/>
      <c r="G412" s="23"/>
      <c r="H412" s="23"/>
      <c r="I412" s="23"/>
      <c r="J412" s="23"/>
      <c r="K412" s="23"/>
      <c r="L412" s="23"/>
      <c r="M412" s="24"/>
    </row>
    <row r="413" spans="2:13" ht="20.25" customHeight="1">
      <c r="B413" s="28"/>
      <c r="C413" s="20"/>
      <c r="D413" s="23"/>
      <c r="E413" s="23"/>
      <c r="F413" s="23"/>
      <c r="G413" s="23"/>
      <c r="H413" s="23"/>
      <c r="I413" s="23"/>
      <c r="J413" s="23"/>
      <c r="K413" s="23"/>
      <c r="L413" s="23"/>
      <c r="M413" s="24"/>
    </row>
    <row r="414" spans="2:13" ht="20.25" customHeight="1">
      <c r="B414" s="28"/>
      <c r="C414" s="20"/>
      <c r="D414" s="23"/>
      <c r="E414" s="23"/>
      <c r="F414" s="23"/>
      <c r="G414" s="23"/>
      <c r="H414" s="23"/>
      <c r="I414" s="23"/>
      <c r="J414" s="23"/>
      <c r="K414" s="23"/>
      <c r="L414" s="23"/>
      <c r="M414" s="24"/>
    </row>
    <row r="415" spans="2:13" ht="20.25" customHeight="1">
      <c r="B415" s="28"/>
      <c r="C415" s="20"/>
      <c r="D415" s="23"/>
      <c r="E415" s="23"/>
      <c r="F415" s="23"/>
      <c r="G415" s="23"/>
      <c r="H415" s="23"/>
      <c r="I415" s="23"/>
      <c r="J415" s="23"/>
      <c r="K415" s="23"/>
      <c r="L415" s="23"/>
      <c r="M415" s="24"/>
    </row>
    <row r="416" spans="2:13" ht="20.25" customHeight="1">
      <c r="B416" s="28"/>
      <c r="C416" s="20"/>
      <c r="D416" s="23"/>
      <c r="E416" s="23"/>
      <c r="F416" s="23"/>
      <c r="G416" s="23"/>
      <c r="H416" s="23"/>
      <c r="I416" s="23"/>
      <c r="J416" s="23"/>
      <c r="K416" s="23"/>
      <c r="L416" s="23"/>
      <c r="M416" s="24"/>
    </row>
    <row r="417" spans="2:13" ht="20.25" customHeight="1">
      <c r="B417" s="28"/>
      <c r="C417" s="20"/>
      <c r="D417" s="23"/>
      <c r="E417" s="23"/>
      <c r="F417" s="23"/>
      <c r="G417" s="23"/>
      <c r="H417" s="23"/>
      <c r="I417" s="23"/>
      <c r="J417" s="23"/>
      <c r="K417" s="23"/>
      <c r="L417" s="23"/>
      <c r="M417" s="24"/>
    </row>
    <row r="418" spans="2:13" ht="20.25" customHeight="1">
      <c r="B418" s="28"/>
      <c r="C418" s="20"/>
      <c r="D418" s="23"/>
      <c r="E418" s="23"/>
      <c r="F418" s="23"/>
      <c r="G418" s="23"/>
      <c r="H418" s="23"/>
      <c r="I418" s="23"/>
      <c r="J418" s="23"/>
      <c r="K418" s="23"/>
      <c r="L418" s="23"/>
      <c r="M418" s="24"/>
    </row>
    <row r="419" spans="2:13" ht="20.25" customHeight="1">
      <c r="B419" s="28"/>
      <c r="C419" s="20"/>
      <c r="D419" s="23"/>
      <c r="E419" s="23"/>
      <c r="F419" s="23"/>
      <c r="G419" s="23"/>
      <c r="H419" s="23"/>
      <c r="I419" s="23"/>
      <c r="J419" s="23"/>
      <c r="K419" s="23"/>
      <c r="L419" s="23"/>
      <c r="M419" s="24"/>
    </row>
    <row r="420" spans="2:13" ht="20.25" customHeight="1">
      <c r="B420" s="28"/>
      <c r="C420" s="20"/>
      <c r="D420" s="23"/>
      <c r="E420" s="23"/>
      <c r="F420" s="23"/>
      <c r="G420" s="23"/>
      <c r="H420" s="23"/>
      <c r="I420" s="23"/>
      <c r="J420" s="23"/>
      <c r="K420" s="23"/>
      <c r="L420" s="23"/>
      <c r="M420" s="24"/>
    </row>
    <row r="421" spans="2:13" ht="20.25" customHeight="1">
      <c r="B421" s="28"/>
      <c r="C421" s="20"/>
      <c r="D421" s="23"/>
      <c r="E421" s="23"/>
      <c r="F421" s="23"/>
      <c r="G421" s="23"/>
      <c r="H421" s="23"/>
      <c r="I421" s="23"/>
      <c r="J421" s="23"/>
      <c r="K421" s="23"/>
      <c r="L421" s="23"/>
      <c r="M421" s="24"/>
    </row>
    <row r="422" spans="2:13" ht="20.25" customHeight="1">
      <c r="B422" s="28"/>
      <c r="C422" s="20"/>
      <c r="D422" s="23"/>
      <c r="E422" s="23"/>
      <c r="F422" s="23"/>
      <c r="G422" s="23"/>
      <c r="H422" s="23"/>
      <c r="I422" s="23"/>
      <c r="J422" s="23"/>
      <c r="K422" s="23"/>
      <c r="L422" s="23"/>
      <c r="M422" s="24"/>
    </row>
    <row r="423" spans="2:13" ht="20.25" customHeight="1">
      <c r="B423" s="28"/>
      <c r="C423" s="20"/>
      <c r="D423" s="23"/>
      <c r="E423" s="23"/>
      <c r="F423" s="23"/>
      <c r="G423" s="23"/>
      <c r="H423" s="23"/>
      <c r="I423" s="23"/>
      <c r="J423" s="23"/>
      <c r="K423" s="23"/>
      <c r="L423" s="23"/>
      <c r="M423" s="24"/>
    </row>
    <row r="424" spans="2:13" ht="20.25" customHeight="1">
      <c r="B424" s="28"/>
      <c r="C424" s="20"/>
      <c r="D424" s="23"/>
      <c r="E424" s="23"/>
      <c r="F424" s="23"/>
      <c r="G424" s="23"/>
      <c r="H424" s="23"/>
      <c r="I424" s="23"/>
      <c r="J424" s="23"/>
      <c r="K424" s="23"/>
      <c r="L424" s="23"/>
      <c r="M424" s="24"/>
    </row>
    <row r="425" spans="2:13" ht="20.25" customHeight="1">
      <c r="B425" s="28"/>
      <c r="C425" s="20"/>
      <c r="D425" s="23"/>
      <c r="E425" s="23"/>
      <c r="F425" s="23"/>
      <c r="G425" s="23"/>
      <c r="H425" s="23"/>
      <c r="I425" s="23"/>
      <c r="J425" s="23"/>
      <c r="K425" s="23"/>
      <c r="L425" s="23"/>
      <c r="M425" s="24"/>
    </row>
    <row r="426" spans="2:13" ht="20.25" customHeight="1">
      <c r="B426" s="28"/>
      <c r="C426" s="20"/>
      <c r="D426" s="23"/>
      <c r="E426" s="23"/>
      <c r="F426" s="23"/>
      <c r="G426" s="23"/>
      <c r="H426" s="23"/>
      <c r="I426" s="23"/>
      <c r="J426" s="23"/>
      <c r="K426" s="23"/>
      <c r="L426" s="23"/>
      <c r="M426" s="24"/>
    </row>
    <row r="427" spans="2:13" ht="20.25" customHeight="1">
      <c r="B427" s="28"/>
      <c r="C427" s="20"/>
      <c r="D427" s="23"/>
      <c r="E427" s="23"/>
      <c r="F427" s="23"/>
      <c r="G427" s="23"/>
      <c r="H427" s="23"/>
      <c r="I427" s="23"/>
      <c r="J427" s="23"/>
      <c r="K427" s="23"/>
      <c r="L427" s="23"/>
      <c r="M427" s="24"/>
    </row>
    <row r="428" spans="2:13" ht="20.25" customHeight="1">
      <c r="B428" s="28"/>
      <c r="C428" s="20"/>
      <c r="D428" s="23"/>
      <c r="E428" s="23"/>
      <c r="F428" s="23"/>
      <c r="G428" s="23"/>
      <c r="H428" s="23"/>
      <c r="I428" s="23"/>
      <c r="J428" s="23"/>
      <c r="K428" s="23"/>
      <c r="L428" s="23"/>
      <c r="M428" s="24"/>
    </row>
    <row r="429" spans="2:13" ht="20.25" customHeight="1">
      <c r="B429" s="28"/>
      <c r="C429" s="20"/>
      <c r="D429" s="23"/>
      <c r="E429" s="23"/>
      <c r="F429" s="23"/>
      <c r="G429" s="23"/>
      <c r="H429" s="23"/>
      <c r="I429" s="23"/>
      <c r="J429" s="23"/>
      <c r="K429" s="23"/>
      <c r="L429" s="23"/>
      <c r="M429" s="24"/>
    </row>
    <row r="430" spans="2:13" ht="20.25" customHeight="1">
      <c r="B430" s="28"/>
      <c r="C430" s="20"/>
      <c r="D430" s="23"/>
      <c r="E430" s="23"/>
      <c r="F430" s="23"/>
      <c r="G430" s="23"/>
      <c r="H430" s="23"/>
      <c r="I430" s="23"/>
      <c r="J430" s="23"/>
      <c r="K430" s="23"/>
      <c r="L430" s="23"/>
      <c r="M430" s="24"/>
    </row>
    <row r="431" spans="2:13" ht="20.25" customHeight="1">
      <c r="B431" s="28"/>
      <c r="C431" s="20"/>
      <c r="D431" s="23"/>
      <c r="E431" s="23"/>
      <c r="F431" s="23"/>
      <c r="G431" s="23"/>
      <c r="H431" s="23"/>
      <c r="I431" s="23"/>
      <c r="J431" s="23"/>
      <c r="K431" s="23"/>
      <c r="L431" s="23"/>
      <c r="M431" s="24"/>
    </row>
    <row r="432" spans="2:13" ht="20.25" customHeight="1">
      <c r="B432" s="28"/>
      <c r="C432" s="20"/>
      <c r="D432" s="23"/>
      <c r="E432" s="23"/>
      <c r="F432" s="23"/>
      <c r="G432" s="23"/>
      <c r="H432" s="23"/>
      <c r="I432" s="23"/>
      <c r="J432" s="23"/>
      <c r="K432" s="23"/>
      <c r="L432" s="23"/>
      <c r="M432" s="24"/>
    </row>
    <row r="433" spans="2:13" ht="20.25" customHeight="1">
      <c r="B433" s="28"/>
      <c r="C433" s="20"/>
      <c r="D433" s="23"/>
      <c r="E433" s="23"/>
      <c r="F433" s="23"/>
      <c r="G433" s="23"/>
      <c r="H433" s="23"/>
      <c r="I433" s="23"/>
      <c r="J433" s="23"/>
      <c r="K433" s="23"/>
      <c r="L433" s="23"/>
      <c r="M433" s="24"/>
    </row>
    <row r="434" spans="2:13" ht="20.25" customHeight="1">
      <c r="B434" s="28"/>
      <c r="C434" s="20"/>
      <c r="D434" s="23"/>
      <c r="E434" s="23"/>
      <c r="F434" s="23"/>
      <c r="G434" s="23"/>
      <c r="H434" s="23"/>
      <c r="I434" s="23"/>
      <c r="J434" s="23"/>
      <c r="K434" s="23"/>
      <c r="L434" s="23"/>
      <c r="M434" s="24"/>
    </row>
    <row r="435" spans="2:13" ht="20.25" customHeight="1">
      <c r="B435" s="28"/>
      <c r="C435" s="20"/>
      <c r="D435" s="23"/>
      <c r="E435" s="23"/>
      <c r="F435" s="23"/>
      <c r="G435" s="23"/>
      <c r="H435" s="23"/>
      <c r="I435" s="23"/>
      <c r="J435" s="23"/>
      <c r="K435" s="23"/>
      <c r="L435" s="23"/>
      <c r="M435" s="24"/>
    </row>
    <row r="436" spans="2:13" ht="20.25" customHeight="1">
      <c r="B436" s="28"/>
      <c r="C436" s="20"/>
      <c r="D436" s="23"/>
      <c r="E436" s="23"/>
      <c r="F436" s="23"/>
      <c r="G436" s="23"/>
      <c r="H436" s="23"/>
      <c r="I436" s="23"/>
      <c r="J436" s="23"/>
      <c r="K436" s="23"/>
      <c r="L436" s="23"/>
      <c r="M436" s="24"/>
    </row>
    <row r="437" spans="2:13" ht="20.25" customHeight="1">
      <c r="B437" s="28"/>
      <c r="C437" s="20"/>
      <c r="D437" s="23"/>
      <c r="E437" s="23"/>
      <c r="F437" s="23"/>
      <c r="G437" s="23"/>
      <c r="H437" s="23"/>
      <c r="I437" s="23"/>
      <c r="J437" s="23"/>
      <c r="K437" s="23"/>
      <c r="L437" s="23"/>
      <c r="M437" s="24"/>
    </row>
    <row r="438" spans="2:13" ht="20.25" customHeight="1">
      <c r="B438" s="28"/>
      <c r="C438" s="20"/>
      <c r="D438" s="23"/>
      <c r="E438" s="23"/>
      <c r="F438" s="23"/>
      <c r="G438" s="23"/>
      <c r="H438" s="23"/>
      <c r="I438" s="23"/>
      <c r="J438" s="23"/>
      <c r="K438" s="23"/>
      <c r="L438" s="23"/>
      <c r="M438" s="24"/>
    </row>
    <row r="439" spans="2:13" ht="20.25" customHeight="1">
      <c r="B439" s="28"/>
      <c r="C439" s="20"/>
      <c r="D439" s="23"/>
      <c r="E439" s="23"/>
      <c r="F439" s="23"/>
      <c r="G439" s="23"/>
      <c r="H439" s="23"/>
      <c r="I439" s="23"/>
      <c r="J439" s="23"/>
      <c r="K439" s="23"/>
      <c r="L439" s="23"/>
      <c r="M439" s="24"/>
    </row>
    <row r="440" spans="2:13" ht="20.25" customHeight="1">
      <c r="B440" s="28"/>
      <c r="C440" s="20"/>
      <c r="D440" s="23"/>
      <c r="E440" s="23"/>
      <c r="F440" s="23"/>
      <c r="G440" s="23"/>
      <c r="H440" s="23"/>
      <c r="I440" s="23"/>
      <c r="J440" s="23"/>
      <c r="K440" s="23"/>
      <c r="L440" s="23"/>
      <c r="M440" s="24"/>
    </row>
    <row r="441" spans="2:13" ht="20.25" customHeight="1">
      <c r="B441" s="28"/>
      <c r="C441" s="20"/>
      <c r="D441" s="23"/>
      <c r="E441" s="23"/>
      <c r="F441" s="23"/>
      <c r="G441" s="23"/>
      <c r="H441" s="23"/>
      <c r="I441" s="23"/>
      <c r="J441" s="23"/>
      <c r="K441" s="23"/>
      <c r="L441" s="23"/>
      <c r="M441" s="24"/>
    </row>
    <row r="442" spans="2:13" ht="20.25" customHeight="1">
      <c r="B442" s="28"/>
      <c r="C442" s="20"/>
      <c r="D442" s="23"/>
      <c r="E442" s="23"/>
      <c r="F442" s="23"/>
      <c r="G442" s="23"/>
      <c r="H442" s="23"/>
      <c r="I442" s="23"/>
      <c r="J442" s="23"/>
      <c r="K442" s="23"/>
      <c r="L442" s="23"/>
      <c r="M442" s="24"/>
    </row>
    <row r="443" spans="2:13" ht="20.25" customHeight="1">
      <c r="B443" s="28"/>
      <c r="C443" s="20"/>
      <c r="D443" s="23"/>
      <c r="E443" s="23"/>
      <c r="F443" s="23"/>
      <c r="G443" s="23"/>
      <c r="H443" s="23"/>
      <c r="I443" s="23"/>
      <c r="J443" s="23"/>
      <c r="K443" s="23"/>
      <c r="L443" s="23"/>
      <c r="M443" s="24"/>
    </row>
    <row r="444" spans="2:13" ht="20.25" customHeight="1">
      <c r="B444" s="28"/>
      <c r="C444" s="20"/>
      <c r="D444" s="23"/>
      <c r="E444" s="23"/>
      <c r="F444" s="23"/>
      <c r="G444" s="23"/>
      <c r="H444" s="23"/>
      <c r="I444" s="23"/>
      <c r="J444" s="23"/>
      <c r="K444" s="23"/>
      <c r="L444" s="23"/>
      <c r="M444" s="24"/>
    </row>
    <row r="445" spans="2:13" ht="20.25" customHeight="1" thickBot="1">
      <c r="B445" s="47"/>
      <c r="C445" s="17"/>
      <c r="D445" s="80"/>
      <c r="E445" s="49"/>
      <c r="F445" s="49"/>
      <c r="G445" s="49"/>
      <c r="H445" s="49"/>
      <c r="I445" s="49"/>
      <c r="J445" s="49"/>
      <c r="K445" s="49"/>
      <c r="L445" s="49"/>
      <c r="M445" s="72"/>
    </row>
  </sheetData>
  <sheetProtection password="CDAE"/>
  <mergeCells count="6">
    <mergeCell ref="P28:S28"/>
    <mergeCell ref="Y28:AB28"/>
    <mergeCell ref="B2:E3"/>
    <mergeCell ref="H37:H40"/>
    <mergeCell ref="B4:E5"/>
    <mergeCell ref="G2:I3"/>
  </mergeCells>
  <phoneticPr fontId="3"/>
  <dataValidations count="2">
    <dataValidation type="list" allowBlank="1" showInputMessage="1" showErrorMessage="1" sqref="I1" xr:uid="{18DAADEA-3E89-4F58-B0D4-7723E8EE76EA}">
      <formula1>$Q$2:$Q$6</formula1>
    </dataValidation>
    <dataValidation type="list" allowBlank="1" showInputMessage="1" showErrorMessage="1" sqref="K2" xr:uid="{D14CDDC4-A564-446A-9BF6-5C693D9A6982}">
      <formula1>$S$2:$S$13</formula1>
    </dataValidation>
  </dataValidations>
  <printOptions horizontalCentered="1" verticalCentered="1"/>
  <pageMargins left="0.31496062992125984" right="0" top="0" bottom="0" header="0.19685039370078741" footer="0.11811023622047245"/>
  <pageSetup paperSize="9" scale="91" orientation="portrait" r:id="rId1"/>
  <headerFooter scaleWithDoc="0" alignWithMargins="0"/>
  <rowBreaks count="5" manualBreakCount="5">
    <brk id="40" min="1" max="12" man="1"/>
    <brk id="85" min="1" max="12" man="1"/>
    <brk id="130" min="1" max="12" man="1"/>
    <brk id="175" min="1" max="12" man="1"/>
    <brk id="265" min="1" max="12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49AFEF227E5FD4C89F4E23727A4A30A" ma:contentTypeVersion="15" ma:contentTypeDescription="建立新的文件。" ma:contentTypeScope="" ma:versionID="fd09382b6a38b5b06e34f16dc56c3af0">
  <xsd:schema xmlns:xsd="http://www.w3.org/2001/XMLSchema" xmlns:xs="http://www.w3.org/2001/XMLSchema" xmlns:p="http://schemas.microsoft.com/office/2006/metadata/properties" xmlns:ns1="http://schemas.microsoft.com/sharepoint/v3" xmlns:ns2="c3c78450-321e-4624-ac04-b432baff79c4" xmlns:ns3="b6f5d9b0-f180-4155-a5ed-e6c00418cf05" xmlns:ns4="a24c4856-f9af-40f9-a556-d19e78ee9245" xmlns:ns5="4a81e18e-6bf5-4188-9d72-abb7a7c18f4e" targetNamespace="http://schemas.microsoft.com/office/2006/metadata/properties" ma:root="true" ma:fieldsID="df4f0d6e05deda3171bc6aeece20603a" ns1:_="" ns2:_="" ns3:_="" ns4:_="" ns5:_="">
    <xsd:import namespace="http://schemas.microsoft.com/sharepoint/v3"/>
    <xsd:import namespace="c3c78450-321e-4624-ac04-b432baff79c4"/>
    <xsd:import namespace="b6f5d9b0-f180-4155-a5ed-e6c00418cf05"/>
    <xsd:import namespace="a24c4856-f9af-40f9-a556-d19e78ee9245"/>
    <xsd:import namespace="4a81e18e-6bf5-4188-9d72-abb7a7c18f4e"/>
    <xsd:element name="properties">
      <xsd:complexType>
        <xsd:sequence>
          <xsd:element name="documentManagement">
            <xsd:complexType>
              <xsd:all>
                <xsd:element ref="ns2:_x6a5f__x5bc6__x7b49__x7d1a_TaxHTField0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  <xsd:element ref="ns1:_dlc_ExpireDateSaved" minOccurs="0"/>
                <xsd:element ref="ns1:_dlc_ExpireDate" minOccurs="0"/>
                <xsd:element ref="ns1:_dlc_Exempt" minOccurs="0"/>
                <xsd:element ref="ns5:nf1f8010d84d4ab2a73a32e878178dc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14" nillable="true" ma:displayName="原始到期日期" ma:hidden="true" ma:internalName="_dlc_ExpireDateSaved" ma:readOnly="true">
      <xsd:simpleType>
        <xsd:restriction base="dms:DateTime"/>
      </xsd:simpleType>
    </xsd:element>
    <xsd:element name="_dlc_ExpireDate" ma:index="15" nillable="true" ma:displayName="到期日期" ma:hidden="true" ma:internalName="_dlc_ExpireDate" ma:readOnly="true">
      <xsd:simpleType>
        <xsd:restriction base="dms:DateTime"/>
      </xsd:simpleType>
    </xsd:element>
    <xsd:element name="_dlc_Exempt" ma:index="16" nillable="true" ma:displayName="免除原則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78450-321e-4624-ac04-b432baff79c4" elementFormDefault="qualified">
    <xsd:import namespace="http://schemas.microsoft.com/office/2006/documentManagement/types"/>
    <xsd:import namespace="http://schemas.microsoft.com/office/infopath/2007/PartnerControls"/>
    <xsd:element name="_x6a5f__x5bc6__x7b49__x7d1a_TaxHTField0" ma:index="9" nillable="true" ma:taxonomy="true" ma:internalName="_x6a5f__x5bc6__x7b49__x7d1a_TaxHTField0" ma:taxonomyFieldName="_x6a5f__x5bc6__x7b49__x7d1a_" ma:displayName="機密等級" ma:indexed="true" ma:readOnly="false" ma:default="3;#R2|186ac445-efbd-41a3-bc36-1cc57a1cc8c3" ma:fieldId="{c4e2325e-3bfa-4153-bf00-d9d820b882ef}" ma:sspId="e9f6428e-7e78-4f52-aee5-f4d3528f9f21" ma:termSetId="830dc9db-bd97-45eb-9904-c95f82b749b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5d9b0-f180-4155-a5ed-e6c00418cf0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分類法全部擷取欄" ma:hidden="true" ma:list="{391574b6-03ba-46e2-bec6-b3aba79273b8}" ma:internalName="TaxCatchAll" ma:showField="CatchAllData" ma:web="35014e12-0444-4014-a487-a70c9cc70b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c4856-f9af-40f9-a556-d19e78ee9245" elementFormDefault="qualified">
    <xsd:import namespace="http://schemas.microsoft.com/office/2006/documentManagement/types"/>
    <xsd:import namespace="http://schemas.microsoft.com/office/infopath/2007/PartnerControls"/>
    <xsd:element name="_dlc_DocId" ma:index="11" nillable="true" ma:displayName="文件識別碼值" ma:description="指派給此項目的文件識別碼值。" ma:internalName="_dlc_DocId" ma:readOnly="true">
      <xsd:simpleType>
        <xsd:restriction base="dms:Text"/>
      </xsd:simpleType>
    </xsd:element>
    <xsd:element name="_dlc_DocIdUrl" ma:index="12" nillable="true" ma:displayName="文件識別碼" ma:description="此文件的永久性連結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持續性識別碼" ma:description="新增時保留識別碼。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1e18e-6bf5-4188-9d72-abb7a7c18f4e" elementFormDefault="qualified">
    <xsd:import namespace="http://schemas.microsoft.com/office/2006/documentManagement/types"/>
    <xsd:import namespace="http://schemas.microsoft.com/office/infopath/2007/PartnerControls"/>
    <xsd:element name="nf1f8010d84d4ab2a73a32e878178dca" ma:index="18" nillable="true" ma:taxonomy="true" ma:internalName="nf1f8010d84d4ab2a73a32e878178dca" ma:taxonomyFieldName="_x500b__x8cc7__x76f8__x95dc_" ma:displayName="文件分類" ma:indexed="true" ma:readOnly="false" ma:default="" ma:fieldId="{7f1f8010-d84d-4ab2-a73a-32e878178dca}" ma:sspId="e9f6428e-7e78-4f52-aee5-f4d3528f9f21" ma:termSetId="87186d81-9691-47ec-ae7a-6c53261e9e3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f5d9b0-f180-4155-a5ed-e6c00418cf05">
      <Value>3</Value>
    </TaxCatchAll>
    <nf1f8010d84d4ab2a73a32e878178dca xmlns="4a81e18e-6bf5-4188-9d72-abb7a7c18f4e">
      <Terms xmlns="http://schemas.microsoft.com/office/infopath/2007/PartnerControls"/>
    </nf1f8010d84d4ab2a73a32e878178dca>
    <_x6a5f__x5bc6__x7b49__x7d1a_TaxHTField0 xmlns="c3c78450-321e-4624-ac04-b432baff79c4">
      <Terms xmlns="http://schemas.microsoft.com/office/infopath/2007/PartnerControls">
        <TermInfo xmlns="http://schemas.microsoft.com/office/infopath/2007/PartnerControls">
          <TermName xmlns="http://schemas.microsoft.com/office/infopath/2007/PartnerControls">R2</TermName>
          <TermId xmlns="http://schemas.microsoft.com/office/infopath/2007/PartnerControls">186ac445-efbd-41a3-bc36-1cc57a1cc8c3</TermId>
        </TermInfo>
      </Terms>
    </_x6a5f__x5bc6__x7b49__x7d1a_TaxHTField0>
  </documentManagement>
</p:properties>
</file>

<file path=customXml/itemProps1.xml><?xml version="1.0" encoding="utf-8"?>
<ds:datastoreItem xmlns:ds="http://schemas.openxmlformats.org/officeDocument/2006/customXml" ds:itemID="{6813CD25-5139-4600-8882-6A8F2A3CC7C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FC79E2C-C87D-4080-A00D-556B27C5B9A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DE5422F-182A-4E35-A2B3-635F096EF7C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34AE6AC-A746-4CD7-82F8-7999D060EC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3c78450-321e-4624-ac04-b432baff79c4"/>
    <ds:schemaRef ds:uri="b6f5d9b0-f180-4155-a5ed-e6c00418cf05"/>
    <ds:schemaRef ds:uri="a24c4856-f9af-40f9-a556-d19e78ee9245"/>
    <ds:schemaRef ds:uri="4a81e18e-6bf5-4188-9d72-abb7a7c18f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BA9328A8-CFD3-4992-B320-4F48D443782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page1</vt:lpstr>
      <vt:lpstr>page1!Print_Area</vt:lpstr>
    </vt:vector>
  </TitlesOfParts>
  <Company>TCANON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Z4400</dc:creator>
  <cp:lastModifiedBy>yang.yuchun</cp:lastModifiedBy>
  <cp:lastPrinted>2026-10-14T06:04:26Z</cp:lastPrinted>
  <dcterms:created xsi:type="dcterms:W3CDTF">2006-03-08T03:53:41Z</dcterms:created>
  <dcterms:modified xsi:type="dcterms:W3CDTF">2026-10-14T06:04:39Z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/>
  </property>
  <property fmtid="{D5CDD505-2E9C-101B-9397-08002B2CF9AE}" pid="3" name="_dlc_DocIdItemGuid">
    <vt:lpwstr>731b0ee8-15a0-433c-8e64-749b4212c2ce</vt:lpwstr>
  </property>
  <property fmtid="{D5CDD505-2E9C-101B-9397-08002B2CF9AE}" pid="4" name="ContentTypeId">
    <vt:lpwstr>0x010100949AFEF227E5FD4C89F4E23727A4A30A</vt:lpwstr>
  </property>
  <property fmtid="{D5CDD505-2E9C-101B-9397-08002B2CF9AE}" pid="5" name="ItemRetentionFormula">
    <vt:lpwstr/>
  </property>
  <property fmtid="{D5CDD505-2E9C-101B-9397-08002B2CF9AE}" pid="6" name="機密等級">
    <vt:lpwstr>3;#R2|186ac445-efbd-41a3-bc36-1cc57a1cc8c3</vt:lpwstr>
  </property>
  <property fmtid="{D5CDD505-2E9C-101B-9397-08002B2CF9AE}" pid="7" name="_dlc_DocId">
    <vt:lpwstr>63MKVUU2X4ZY-4-117019</vt:lpwstr>
  </property>
  <property fmtid="{D5CDD505-2E9C-101B-9397-08002B2CF9AE}" pid="8" name="_dlc_DocIdUrl">
    <vt:lpwstr>http://portal.canon.com.tw/sites/doc01/_layouts/DocIdRedir.aspx?ID=63MKVUU2X4ZY-4-117019, 63MKVUU2X4ZY-4-117019</vt:lpwstr>
  </property>
</Properties>
</file>